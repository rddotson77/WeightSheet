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a82357a56903de6/DCOM 299 (Portfolio)/works/Programming/Utz Weight Sheets/"/>
    </mc:Choice>
  </mc:AlternateContent>
  <workbookProtection workbookPassword="D7AD" lockStructure="1"/>
  <bookViews>
    <workbookView xWindow="0" yWindow="60" windowWidth="14370" windowHeight="12465"/>
  </bookViews>
  <sheets>
    <sheet name="MACHINE 6-1" sheetId="9" r:id="rId1"/>
    <sheet name="MACHINE 6-2 (10-2)" sheetId="34" r:id="rId2"/>
    <sheet name="MACHINE 10-3" sheetId="35" r:id="rId3"/>
    <sheet name="MACHINE 10-4" sheetId="40" r:id="rId4"/>
    <sheet name="MACHINE 10-5" sheetId="41" r:id="rId5"/>
    <sheet name="MACHINE 10-6" sheetId="42" r:id="rId6"/>
    <sheet name="MACHINE 10-7" sheetId="43" r:id="rId7"/>
    <sheet name="Weekly Summary" sheetId="33" r:id="rId8"/>
  </sheets>
  <functionGroups builtInGroupCount="18"/>
  <definedNames>
    <definedName name="Bulk" localSheetId="2">'MACHINE 10-3'!$D$9:$D$32,'MACHINE 10-3'!$D$49:$D$72,'MACHINE 10-3'!$D$89:$D$112,'MACHINE 10-3'!$D$128:$D$151,'MACHINE 10-3'!$D$167:$D$190,'MACHINE 10-3'!$D$206:$D$229</definedName>
    <definedName name="Bulk" localSheetId="3">'MACHINE 10-4'!$D$9:$D$32,'MACHINE 10-4'!$D$49:$D$72,'MACHINE 10-4'!$D$89:$D$112,'MACHINE 10-4'!$D$128:$D$151,'MACHINE 10-4'!$D$167:$D$190,'MACHINE 10-4'!$D$206:$D$229</definedName>
    <definedName name="Bulk" localSheetId="4">'MACHINE 10-5'!$D$9:$D$32,'MACHINE 10-5'!$D$49:$D$72,'MACHINE 10-5'!$D$89:$D$112,'MACHINE 10-5'!$D$128:$D$151,'MACHINE 10-5'!$D$167:$D$190,'MACHINE 10-5'!$D$206:$D$229</definedName>
    <definedName name="Bulk" localSheetId="5">'MACHINE 10-6'!$D$9:$D$32,'MACHINE 10-6'!$D$49:$D$72,'MACHINE 10-6'!$D$89:$D$112,'MACHINE 10-6'!$D$128:$D$151,'MACHINE 10-6'!$D$167:$D$190,'MACHINE 10-6'!$D$206:$D$229</definedName>
    <definedName name="Bulk" localSheetId="6">'MACHINE 10-7'!$D$9:$D$32,'MACHINE 10-7'!$D$49:$D$72,'MACHINE 10-7'!$D$89:$D$112,'MACHINE 10-7'!$D$128:$D$151,'MACHINE 10-7'!$D$167:$D$190,'MACHINE 10-7'!$D$206:$D$229</definedName>
    <definedName name="Bulk" localSheetId="0">'MACHINE 6-1'!$D$9:$D$32,'MACHINE 6-1'!$D$49:$D$72,'MACHINE 6-1'!$D$89:$D$112,'MACHINE 6-1'!$D$129:$D$152,'MACHINE 6-1'!$D$169:$D$192,'MACHINE 6-1'!$D$209:$D$232,'MACHINE 6-1'!$D$249:$D$272</definedName>
    <definedName name="Bulk" localSheetId="1">'MACHINE 6-2 (10-2)'!$D$9:$D$32,'MACHINE 6-2 (10-2)'!$D$48,'MACHINE 6-2 (10-2)'!$D$48:$D$64,'MACHINE 6-2 (10-2)'!$D$48,'MACHINE 6-2 (10-2)'!$D$64:$D$65,'MACHINE 6-2 (10-2)'!$D$48:$D$64,'MACHINE 6-2 (10-2)'!$D$64,'MACHINE 6-2 (10-2)'!$D$65,'MACHINE 6-2 (10-2)'!$D$64,'MACHINE 6-2 (10-2)'!$D$65,'MACHINE 6-2 (10-2)'!$D$64,'MACHINE 6-2 (10-2)'!$D$65,'MACHINE 6-2 (10-2)'!$D$48:$D$71,'MACHINE 6-2 (10-2)'!$D$87:$D$110,'MACHINE 6-2 (10-2)'!$D$126:$D$149,'MACHINE 6-2 (10-2)'!$D$165:$D$188,'MACHINE 6-2 (10-2)'!$D$204:$D$227,'MACHINE 6-2 (10-2)'!$D$243:$D$266</definedName>
    <definedName name="_xlnm.Print_Area" localSheetId="2">'MACHINE 10-3'!$A$1:$J$236</definedName>
    <definedName name="_xlnm.Print_Area" localSheetId="3">'MACHINE 10-4'!$A$1:$J$236</definedName>
    <definedName name="_xlnm.Print_Area" localSheetId="4">'MACHINE 10-5'!$A$1:$J$236</definedName>
    <definedName name="_xlnm.Print_Area" localSheetId="5">'MACHINE 10-6'!$A$1:$J$236</definedName>
    <definedName name="_xlnm.Print_Area" localSheetId="6">'MACHINE 10-7'!$A$1:$J$236</definedName>
    <definedName name="_xlnm.Print_Area" localSheetId="0">'MACHINE 6-1'!$A$1:$J$280</definedName>
    <definedName name="_xlnm.Print_Area" localSheetId="1">'MACHINE 6-2 (10-2)'!$A$1:$J$273</definedName>
  </definedNames>
  <calcPr calcId="152511" iterate="1"/>
</workbook>
</file>

<file path=xl/calcChain.xml><?xml version="1.0" encoding="utf-8"?>
<calcChain xmlns="http://schemas.openxmlformats.org/spreadsheetml/2006/main">
  <c r="B227" i="43" l="1"/>
  <c r="B228" i="43"/>
  <c r="I227" i="43"/>
  <c r="J227" i="43" s="1"/>
  <c r="I228" i="43"/>
  <c r="J228" i="43" s="1"/>
  <c r="B207" i="43"/>
  <c r="B208" i="43"/>
  <c r="B209" i="43"/>
  <c r="J207" i="43"/>
  <c r="I207" i="43"/>
  <c r="I208" i="43"/>
  <c r="J208" i="43" s="1"/>
  <c r="I209" i="43"/>
  <c r="J209" i="43" s="1"/>
  <c r="B188" i="43"/>
  <c r="B189" i="43"/>
  <c r="B190" i="43"/>
  <c r="I188" i="43"/>
  <c r="J188" i="43" s="1"/>
  <c r="I189" i="43"/>
  <c r="J189" i="43" s="1"/>
  <c r="B168" i="43"/>
  <c r="B169" i="43"/>
  <c r="B170" i="43"/>
  <c r="J168" i="43"/>
  <c r="I168" i="43"/>
  <c r="I169" i="43"/>
  <c r="J169" i="43" s="1"/>
  <c r="I170" i="43"/>
  <c r="J170" i="43" s="1"/>
  <c r="B149" i="43"/>
  <c r="B150" i="43"/>
  <c r="B151" i="43"/>
  <c r="I149" i="43"/>
  <c r="J149" i="43" s="1"/>
  <c r="I150" i="43"/>
  <c r="J150" i="43" s="1"/>
  <c r="B129" i="43"/>
  <c r="B130" i="43"/>
  <c r="B131" i="43"/>
  <c r="J131" i="43"/>
  <c r="I129" i="43"/>
  <c r="J129" i="43" s="1"/>
  <c r="I130" i="43"/>
  <c r="J130" i="43" s="1"/>
  <c r="I131" i="43"/>
  <c r="B110" i="43"/>
  <c r="B111" i="43"/>
  <c r="J110" i="43"/>
  <c r="I110" i="43"/>
  <c r="I111" i="43"/>
  <c r="J111" i="43" s="1"/>
  <c r="B90" i="43"/>
  <c r="B91" i="43"/>
  <c r="B92" i="43"/>
  <c r="I90" i="43"/>
  <c r="J90" i="43" s="1"/>
  <c r="I91" i="43"/>
  <c r="J91" i="43" s="1"/>
  <c r="I92" i="43"/>
  <c r="J92" i="43" s="1"/>
  <c r="B70" i="43"/>
  <c r="B71" i="43"/>
  <c r="B72" i="43"/>
  <c r="I70" i="43"/>
  <c r="J70" i="43" s="1"/>
  <c r="I71" i="43"/>
  <c r="J71" i="43" s="1"/>
  <c r="B50" i="43"/>
  <c r="B51" i="43"/>
  <c r="B52" i="43"/>
  <c r="J50" i="43"/>
  <c r="I50" i="43"/>
  <c r="I51" i="43"/>
  <c r="J51" i="43" s="1"/>
  <c r="I52" i="43"/>
  <c r="J52" i="43" s="1"/>
  <c r="B30" i="43"/>
  <c r="B31" i="43"/>
  <c r="B32" i="43"/>
  <c r="J30" i="43"/>
  <c r="I30" i="43"/>
  <c r="I31" i="43"/>
  <c r="J31" i="43" s="1"/>
  <c r="B10" i="43"/>
  <c r="B11" i="43"/>
  <c r="B12" i="43"/>
  <c r="J11" i="43"/>
  <c r="I10" i="43"/>
  <c r="J10" i="43" s="1"/>
  <c r="I11" i="43"/>
  <c r="I12" i="43"/>
  <c r="J12" i="43" s="1"/>
  <c r="B227" i="42"/>
  <c r="B228" i="42"/>
  <c r="B229" i="42"/>
  <c r="J228" i="42"/>
  <c r="I227" i="42"/>
  <c r="J227" i="42" s="1"/>
  <c r="I228" i="42"/>
  <c r="B207" i="42"/>
  <c r="B208" i="42"/>
  <c r="B209" i="42"/>
  <c r="J208" i="42"/>
  <c r="J209" i="42"/>
  <c r="I207" i="42"/>
  <c r="J207" i="42" s="1"/>
  <c r="I208" i="42"/>
  <c r="I209" i="42"/>
  <c r="B168" i="42"/>
  <c r="B169" i="42"/>
  <c r="B170" i="42"/>
  <c r="J168" i="42"/>
  <c r="J169" i="42"/>
  <c r="J170" i="42"/>
  <c r="I168" i="42"/>
  <c r="I169" i="42"/>
  <c r="I170" i="42"/>
  <c r="B188" i="42"/>
  <c r="B189" i="42"/>
  <c r="J189" i="42"/>
  <c r="I188" i="42"/>
  <c r="J188" i="42" s="1"/>
  <c r="I189" i="42"/>
  <c r="B149" i="42"/>
  <c r="B150" i="42"/>
  <c r="B151" i="42"/>
  <c r="I149" i="42"/>
  <c r="J149" i="42" s="1"/>
  <c r="I150" i="42"/>
  <c r="J150" i="42" s="1"/>
  <c r="B129" i="42"/>
  <c r="B130" i="42"/>
  <c r="B131" i="42"/>
  <c r="J131" i="42"/>
  <c r="I129" i="42"/>
  <c r="J129" i="42" s="1"/>
  <c r="I130" i="42"/>
  <c r="J130" i="42" s="1"/>
  <c r="I131" i="42"/>
  <c r="B110" i="42"/>
  <c r="B111" i="42"/>
  <c r="B112" i="42"/>
  <c r="I110" i="42"/>
  <c r="J110" i="42" s="1"/>
  <c r="I111" i="42"/>
  <c r="J111" i="42" s="1"/>
  <c r="B90" i="42"/>
  <c r="B91" i="42"/>
  <c r="B92" i="42"/>
  <c r="J92" i="42"/>
  <c r="I90" i="42"/>
  <c r="J90" i="42" s="1"/>
  <c r="I91" i="42"/>
  <c r="J91" i="42" s="1"/>
  <c r="I92" i="42"/>
  <c r="B70" i="42"/>
  <c r="B71" i="42"/>
  <c r="J70" i="42"/>
  <c r="I70" i="42"/>
  <c r="I71" i="42"/>
  <c r="J71" i="42" s="1"/>
  <c r="B50" i="42"/>
  <c r="B51" i="42"/>
  <c r="B52" i="42"/>
  <c r="B53" i="42"/>
  <c r="I50" i="42"/>
  <c r="J50" i="42" s="1"/>
  <c r="I51" i="42"/>
  <c r="J51" i="42" s="1"/>
  <c r="I52" i="42"/>
  <c r="J52" i="42" s="1"/>
  <c r="I53" i="42"/>
  <c r="J53" i="42" s="1"/>
  <c r="I54" i="42"/>
  <c r="B30" i="42"/>
  <c r="B31" i="42"/>
  <c r="J31" i="42"/>
  <c r="I30" i="42"/>
  <c r="J30" i="42" s="1"/>
  <c r="I31" i="42"/>
  <c r="B10" i="42"/>
  <c r="B11" i="42"/>
  <c r="B12" i="42"/>
  <c r="I10" i="42"/>
  <c r="J10" i="42" s="1"/>
  <c r="I11" i="42"/>
  <c r="J11" i="42" s="1"/>
  <c r="I12" i="42"/>
  <c r="J12" i="42" s="1"/>
  <c r="B227" i="41"/>
  <c r="B228" i="41"/>
  <c r="I227" i="41"/>
  <c r="J227" i="41" s="1"/>
  <c r="I228" i="41"/>
  <c r="J228" i="41" s="1"/>
  <c r="B207" i="41"/>
  <c r="B208" i="41"/>
  <c r="B209" i="41"/>
  <c r="I207" i="41"/>
  <c r="J207" i="41" s="1"/>
  <c r="I208" i="41"/>
  <c r="J208" i="41" s="1"/>
  <c r="I209" i="41"/>
  <c r="J209" i="41" s="1"/>
  <c r="B188" i="41"/>
  <c r="B189" i="41"/>
  <c r="B190" i="41"/>
  <c r="I188" i="41"/>
  <c r="J188" i="41" s="1"/>
  <c r="I189" i="41"/>
  <c r="J189" i="41" s="1"/>
  <c r="B168" i="41"/>
  <c r="B169" i="41"/>
  <c r="B170" i="41"/>
  <c r="I168" i="41"/>
  <c r="J168" i="41" s="1"/>
  <c r="I169" i="41"/>
  <c r="J169" i="41" s="1"/>
  <c r="I170" i="41"/>
  <c r="J170" i="41" s="1"/>
  <c r="B149" i="41"/>
  <c r="B150" i="41"/>
  <c r="I149" i="41"/>
  <c r="J149" i="41" s="1"/>
  <c r="I150" i="41"/>
  <c r="J150" i="41" s="1"/>
  <c r="B129" i="41"/>
  <c r="B130" i="41"/>
  <c r="B131" i="41"/>
  <c r="J129" i="41"/>
  <c r="I129" i="41"/>
  <c r="I130" i="41"/>
  <c r="J130" i="41" s="1"/>
  <c r="I131" i="41"/>
  <c r="J131" i="41" s="1"/>
  <c r="J111" i="41"/>
  <c r="I110" i="41"/>
  <c r="J110" i="41" s="1"/>
  <c r="I111" i="41"/>
  <c r="B110" i="41"/>
  <c r="B111" i="41"/>
  <c r="B112" i="41"/>
  <c r="B90" i="41"/>
  <c r="B91" i="41"/>
  <c r="B92" i="41"/>
  <c r="J90" i="41"/>
  <c r="I90" i="41"/>
  <c r="I91" i="41"/>
  <c r="J91" i="41" s="1"/>
  <c r="I92" i="41"/>
  <c r="J92" i="41" s="1"/>
  <c r="B70" i="41"/>
  <c r="B71" i="41"/>
  <c r="B72" i="41"/>
  <c r="I70" i="41"/>
  <c r="J70" i="41" s="1"/>
  <c r="I71" i="41"/>
  <c r="J71" i="41" s="1"/>
  <c r="B50" i="41"/>
  <c r="B51" i="41"/>
  <c r="B52" i="41"/>
  <c r="J50" i="41"/>
  <c r="I50" i="41"/>
  <c r="I51" i="41"/>
  <c r="J51" i="41" s="1"/>
  <c r="I52" i="41"/>
  <c r="J52" i="41" s="1"/>
  <c r="B30" i="41"/>
  <c r="B31" i="41"/>
  <c r="B32" i="41"/>
  <c r="I30" i="41"/>
  <c r="J30" i="41" s="1"/>
  <c r="I31" i="41"/>
  <c r="J31" i="41" s="1"/>
  <c r="B10" i="41"/>
  <c r="B11" i="41"/>
  <c r="B12" i="41"/>
  <c r="J10" i="41"/>
  <c r="I10" i="41"/>
  <c r="I11" i="41"/>
  <c r="J11" i="41" s="1"/>
  <c r="I12" i="41"/>
  <c r="J12" i="41" s="1"/>
  <c r="B227" i="40"/>
  <c r="B228" i="40"/>
  <c r="B229" i="40"/>
  <c r="I227" i="40"/>
  <c r="J227" i="40" s="1"/>
  <c r="I228" i="40"/>
  <c r="J228" i="40" s="1"/>
  <c r="B207" i="40"/>
  <c r="B208" i="40"/>
  <c r="B209" i="40"/>
  <c r="J207" i="40"/>
  <c r="I207" i="40"/>
  <c r="I208" i="40"/>
  <c r="J208" i="40" s="1"/>
  <c r="I209" i="40"/>
  <c r="J209" i="40" s="1"/>
  <c r="B188" i="40"/>
  <c r="B189" i="40"/>
  <c r="J188" i="40"/>
  <c r="I188" i="40"/>
  <c r="I189" i="40"/>
  <c r="J189" i="40" s="1"/>
  <c r="B168" i="40"/>
  <c r="B169" i="40"/>
  <c r="B170" i="40"/>
  <c r="I168" i="40"/>
  <c r="J168" i="40" s="1"/>
  <c r="I169" i="40"/>
  <c r="J169" i="40" s="1"/>
  <c r="I170" i="40"/>
  <c r="J170" i="40" s="1"/>
  <c r="B149" i="40"/>
  <c r="B150" i="40"/>
  <c r="B151" i="40"/>
  <c r="I150" i="40"/>
  <c r="J150" i="40" s="1"/>
  <c r="I149" i="40"/>
  <c r="J149" i="40" s="1"/>
  <c r="B129" i="40"/>
  <c r="B130" i="40"/>
  <c r="B131" i="40"/>
  <c r="I129" i="40"/>
  <c r="J129" i="40" s="1"/>
  <c r="I130" i="40"/>
  <c r="J130" i="40" s="1"/>
  <c r="I131" i="40"/>
  <c r="J131" i="40" s="1"/>
  <c r="B110" i="40"/>
  <c r="B111" i="40"/>
  <c r="B112" i="40"/>
  <c r="I110" i="40"/>
  <c r="J110" i="40" s="1"/>
  <c r="I111" i="40"/>
  <c r="J111" i="40" s="1"/>
  <c r="B90" i="40"/>
  <c r="B91" i="40"/>
  <c r="B92" i="40"/>
  <c r="I90" i="40"/>
  <c r="J90" i="40" s="1"/>
  <c r="I91" i="40"/>
  <c r="J91" i="40" s="1"/>
  <c r="I92" i="40"/>
  <c r="J92" i="40" s="1"/>
  <c r="B70" i="40"/>
  <c r="B71" i="40"/>
  <c r="B72" i="40"/>
  <c r="I70" i="40"/>
  <c r="J70" i="40" s="1"/>
  <c r="I71" i="40"/>
  <c r="J71" i="40" s="1"/>
  <c r="B50" i="40"/>
  <c r="B51" i="40"/>
  <c r="B52" i="40"/>
  <c r="I52" i="40"/>
  <c r="J52" i="40" s="1"/>
  <c r="I50" i="40"/>
  <c r="J50" i="40" s="1"/>
  <c r="I51" i="40"/>
  <c r="J51" i="40" s="1"/>
  <c r="B30" i="40"/>
  <c r="B31" i="40"/>
  <c r="B32" i="40"/>
  <c r="I30" i="40"/>
  <c r="J30" i="40" s="1"/>
  <c r="I31" i="40"/>
  <c r="J31" i="40" s="1"/>
  <c r="B10" i="40"/>
  <c r="B11" i="40"/>
  <c r="B12" i="40"/>
  <c r="I10" i="40"/>
  <c r="J10" i="40" s="1"/>
  <c r="I11" i="40"/>
  <c r="J11" i="40" s="1"/>
  <c r="I12" i="40"/>
  <c r="J12" i="40" s="1"/>
  <c r="B227" i="35"/>
  <c r="B228" i="35"/>
  <c r="B229" i="35"/>
  <c r="I227" i="35"/>
  <c r="J227" i="35" s="1"/>
  <c r="I228" i="35"/>
  <c r="J228" i="35" s="1"/>
  <c r="B207" i="35"/>
  <c r="B208" i="35"/>
  <c r="B209" i="35"/>
  <c r="J208" i="35"/>
  <c r="I207" i="35"/>
  <c r="J207" i="35" s="1"/>
  <c r="I208" i="35"/>
  <c r="I209" i="35"/>
  <c r="J209" i="35" s="1"/>
  <c r="B190" i="35"/>
  <c r="B188" i="35"/>
  <c r="B189" i="35"/>
  <c r="I188" i="35"/>
  <c r="J188" i="35" s="1"/>
  <c r="I189" i="35"/>
  <c r="J189" i="35" s="1"/>
  <c r="B168" i="35"/>
  <c r="B169" i="35"/>
  <c r="B170" i="35"/>
  <c r="J169" i="35"/>
  <c r="I168" i="35"/>
  <c r="J168" i="35" s="1"/>
  <c r="I169" i="35"/>
  <c r="I170" i="35"/>
  <c r="J170" i="35" s="1"/>
  <c r="B171" i="35"/>
  <c r="I171" i="35"/>
  <c r="J171" i="35" s="1"/>
  <c r="B149" i="35"/>
  <c r="B150" i="35"/>
  <c r="B151" i="35"/>
  <c r="I149" i="35"/>
  <c r="J149" i="35" s="1"/>
  <c r="I150" i="35"/>
  <c r="J150" i="35" s="1"/>
  <c r="B129" i="35"/>
  <c r="B130" i="35"/>
  <c r="B131" i="35"/>
  <c r="I129" i="35"/>
  <c r="J129" i="35" s="1"/>
  <c r="I130" i="35"/>
  <c r="J130" i="35" s="1"/>
  <c r="I131" i="35"/>
  <c r="J131" i="35" s="1"/>
  <c r="B110" i="35"/>
  <c r="B111" i="35"/>
  <c r="I110" i="35"/>
  <c r="J110" i="35" s="1"/>
  <c r="I111" i="35"/>
  <c r="J111" i="35" s="1"/>
  <c r="I90" i="35"/>
  <c r="J90" i="35" s="1"/>
  <c r="I91" i="35"/>
  <c r="J91" i="35" s="1"/>
  <c r="I92" i="35"/>
  <c r="J92" i="35" s="1"/>
  <c r="B90" i="35"/>
  <c r="B91" i="35"/>
  <c r="B92" i="35"/>
  <c r="I70" i="35"/>
  <c r="J70" i="35" s="1"/>
  <c r="I71" i="35"/>
  <c r="J71" i="35" s="1"/>
  <c r="B50" i="35"/>
  <c r="B51" i="35"/>
  <c r="B52" i="35"/>
  <c r="J51" i="35"/>
  <c r="I50" i="35"/>
  <c r="J50" i="35" s="1"/>
  <c r="I51" i="35"/>
  <c r="I52" i="35"/>
  <c r="J52" i="35" s="1"/>
  <c r="B12" i="35"/>
  <c r="I12" i="35"/>
  <c r="J12" i="35" s="1"/>
  <c r="I30" i="35"/>
  <c r="J30" i="35" s="1"/>
  <c r="I31" i="35"/>
  <c r="J31" i="35" s="1"/>
  <c r="B30" i="35"/>
  <c r="B31" i="35"/>
  <c r="B10" i="35"/>
  <c r="B11" i="35"/>
  <c r="I10" i="35"/>
  <c r="J10" i="35" s="1"/>
  <c r="I11" i="35"/>
  <c r="J11" i="35" s="1"/>
  <c r="B264" i="34"/>
  <c r="B265" i="34"/>
  <c r="J264" i="34"/>
  <c r="I264" i="34"/>
  <c r="I265" i="34"/>
  <c r="J265" i="34" s="1"/>
  <c r="B244" i="34"/>
  <c r="B245" i="34"/>
  <c r="J245" i="34"/>
  <c r="I244" i="34"/>
  <c r="J244" i="34" s="1"/>
  <c r="I245" i="34"/>
  <c r="B225" i="34"/>
  <c r="B226" i="34"/>
  <c r="J225" i="34"/>
  <c r="I225" i="34"/>
  <c r="I226" i="34"/>
  <c r="J226" i="34" s="1"/>
  <c r="J205" i="34"/>
  <c r="I205" i="34"/>
  <c r="I206" i="34"/>
  <c r="J206" i="34" s="1"/>
  <c r="B205" i="34"/>
  <c r="B206" i="34"/>
  <c r="B186" i="34"/>
  <c r="B187" i="34"/>
  <c r="B188" i="34"/>
  <c r="I186" i="34"/>
  <c r="J186" i="34" s="1"/>
  <c r="I187" i="34"/>
  <c r="J187" i="34" s="1"/>
  <c r="B166" i="34"/>
  <c r="B167" i="34"/>
  <c r="I166" i="34"/>
  <c r="J166" i="34" s="1"/>
  <c r="I167" i="34"/>
  <c r="J167" i="34" s="1"/>
  <c r="B147" i="34"/>
  <c r="B148" i="34"/>
  <c r="I147" i="34"/>
  <c r="J147" i="34" s="1"/>
  <c r="I148" i="34"/>
  <c r="J148" i="34" s="1"/>
  <c r="B127" i="34"/>
  <c r="B128" i="34"/>
  <c r="J128" i="34"/>
  <c r="I127" i="34"/>
  <c r="J127" i="34" s="1"/>
  <c r="I128" i="34"/>
  <c r="B108" i="34"/>
  <c r="B109" i="34"/>
  <c r="I108" i="34"/>
  <c r="J108" i="34" s="1"/>
  <c r="I109" i="34"/>
  <c r="J109" i="34" s="1"/>
  <c r="B89" i="34"/>
  <c r="B88" i="34"/>
  <c r="I88" i="34"/>
  <c r="J88" i="34" s="1"/>
  <c r="I89" i="34"/>
  <c r="J89" i="34" s="1"/>
  <c r="B69" i="34"/>
  <c r="B70" i="34"/>
  <c r="B71" i="34"/>
  <c r="I69" i="34"/>
  <c r="J69" i="34" s="1"/>
  <c r="I70" i="34"/>
  <c r="J70" i="34" s="1"/>
  <c r="B49" i="34"/>
  <c r="B50" i="34"/>
  <c r="J49" i="34"/>
  <c r="I49" i="34"/>
  <c r="I50" i="34"/>
  <c r="J50" i="34" s="1"/>
  <c r="B30" i="34"/>
  <c r="B32" i="34"/>
  <c r="I30" i="34"/>
  <c r="J30" i="34" s="1"/>
  <c r="I31" i="34"/>
  <c r="J31" i="34" s="1"/>
  <c r="I32" i="34"/>
  <c r="J32" i="34" s="1"/>
  <c r="B10" i="34"/>
  <c r="B11" i="34"/>
  <c r="B12" i="34"/>
  <c r="I10" i="34"/>
  <c r="J10" i="34" s="1"/>
  <c r="I11" i="34"/>
  <c r="J11" i="34" s="1"/>
  <c r="B269" i="9"/>
  <c r="B270" i="9"/>
  <c r="B271" i="9"/>
  <c r="J270" i="9"/>
  <c r="J271" i="9"/>
  <c r="I269" i="9"/>
  <c r="J269" i="9" s="1"/>
  <c r="I270" i="9"/>
  <c r="I271" i="9"/>
  <c r="B250" i="9"/>
  <c r="B251" i="9"/>
  <c r="I250" i="9"/>
  <c r="J250" i="9" s="1"/>
  <c r="I251" i="9"/>
  <c r="J251" i="9" s="1"/>
  <c r="B231" i="9"/>
  <c r="B230" i="9"/>
  <c r="B229" i="9"/>
  <c r="J231" i="9"/>
  <c r="I229" i="9"/>
  <c r="J229" i="9" s="1"/>
  <c r="I230" i="9"/>
  <c r="J230" i="9" s="1"/>
  <c r="I231" i="9"/>
  <c r="I210" i="9"/>
  <c r="J210" i="9" s="1"/>
  <c r="I211" i="9"/>
  <c r="J211" i="9" s="1"/>
  <c r="B210" i="9"/>
  <c r="B211" i="9"/>
  <c r="B189" i="9"/>
  <c r="B190" i="9"/>
  <c r="B191" i="9"/>
  <c r="B192" i="9"/>
  <c r="J191" i="9"/>
  <c r="I189" i="9"/>
  <c r="J189" i="9" s="1"/>
  <c r="I190" i="9"/>
  <c r="J190" i="9" s="1"/>
  <c r="I191" i="9"/>
  <c r="I170" i="9"/>
  <c r="J170" i="9" s="1"/>
  <c r="I171" i="9"/>
  <c r="J171" i="9" s="1"/>
  <c r="B170" i="9"/>
  <c r="B171" i="9"/>
  <c r="B149" i="9"/>
  <c r="B150" i="9"/>
  <c r="B151" i="9"/>
  <c r="B152" i="9"/>
  <c r="I149" i="9"/>
  <c r="J149" i="9" s="1"/>
  <c r="I150" i="9"/>
  <c r="J150" i="9" s="1"/>
  <c r="I151" i="9"/>
  <c r="J151" i="9" s="1"/>
  <c r="B130" i="9"/>
  <c r="B131" i="9"/>
  <c r="I130" i="9"/>
  <c r="J130" i="9" s="1"/>
  <c r="I131" i="9"/>
  <c r="J131" i="9" s="1"/>
  <c r="B109" i="9"/>
  <c r="B110" i="9"/>
  <c r="B111" i="9"/>
  <c r="B112" i="9"/>
  <c r="J111" i="9"/>
  <c r="I109" i="9"/>
  <c r="J109" i="9" s="1"/>
  <c r="I110" i="9"/>
  <c r="J110" i="9" s="1"/>
  <c r="I111" i="9"/>
  <c r="B90" i="9"/>
  <c r="B91" i="9"/>
  <c r="I90" i="9"/>
  <c r="J90" i="9" s="1"/>
  <c r="I91" i="9"/>
  <c r="J91" i="9" s="1"/>
  <c r="B69" i="9"/>
  <c r="B70" i="9"/>
  <c r="B72" i="9"/>
  <c r="I69" i="9"/>
  <c r="J69" i="9" s="1"/>
  <c r="I70" i="9"/>
  <c r="J70" i="9" s="1"/>
  <c r="I71" i="9"/>
  <c r="J71" i="9" s="1"/>
  <c r="B51" i="9"/>
  <c r="I50" i="9"/>
  <c r="J50" i="9" s="1"/>
  <c r="I51" i="9"/>
  <c r="J51" i="9" s="1"/>
  <c r="B29" i="9"/>
  <c r="B30" i="9"/>
  <c r="B31" i="9"/>
  <c r="B10" i="9"/>
  <c r="B11" i="9"/>
  <c r="B12" i="9"/>
  <c r="I29" i="9"/>
  <c r="J29" i="9" s="1"/>
  <c r="I30" i="9"/>
  <c r="J30" i="9" s="1"/>
  <c r="I31" i="9"/>
  <c r="J31" i="9" s="1"/>
  <c r="I10" i="9"/>
  <c r="J10" i="9" s="1"/>
  <c r="I11" i="9"/>
  <c r="J11" i="9" s="1"/>
  <c r="I9" i="9"/>
  <c r="J9" i="9" s="1"/>
  <c r="B165" i="34" l="1"/>
  <c r="I165" i="34"/>
  <c r="J165" i="34"/>
  <c r="B168" i="34"/>
  <c r="I168" i="34"/>
  <c r="J168" i="34" s="1"/>
  <c r="B169" i="34"/>
  <c r="I169" i="34"/>
  <c r="J169" i="34" s="1"/>
  <c r="B170" i="34"/>
  <c r="I170" i="34"/>
  <c r="J170" i="34" s="1"/>
  <c r="B171" i="34"/>
  <c r="I171" i="34"/>
  <c r="J171" i="34" s="1"/>
  <c r="B172" i="34"/>
  <c r="I172" i="34"/>
  <c r="J172" i="34" s="1"/>
  <c r="B173" i="34"/>
  <c r="I173" i="34"/>
  <c r="J173" i="34" s="1"/>
  <c r="B174" i="34"/>
  <c r="I174" i="34"/>
  <c r="J174" i="34" s="1"/>
  <c r="B175" i="34"/>
  <c r="I175" i="34"/>
  <c r="J175" i="34" s="1"/>
  <c r="B176" i="34"/>
  <c r="I176" i="34"/>
  <c r="J176" i="34" s="1"/>
  <c r="B177" i="34"/>
  <c r="I177" i="34"/>
  <c r="J177" i="34" s="1"/>
  <c r="B178" i="34"/>
  <c r="I178" i="34"/>
  <c r="J178" i="34"/>
  <c r="B179" i="34"/>
  <c r="I179" i="34"/>
  <c r="J179" i="34" s="1"/>
  <c r="B180" i="34"/>
  <c r="I180" i="34"/>
  <c r="J180" i="34" s="1"/>
  <c r="B181" i="34"/>
  <c r="I181" i="34"/>
  <c r="J181" i="34" s="1"/>
  <c r="B182" i="34"/>
  <c r="I182" i="34"/>
  <c r="J182" i="34" s="1"/>
  <c r="B183" i="34"/>
  <c r="I183" i="34"/>
  <c r="J183" i="34"/>
  <c r="B184" i="34"/>
  <c r="I184" i="34"/>
  <c r="J184" i="34" s="1"/>
  <c r="B185" i="34"/>
  <c r="I185" i="34"/>
  <c r="J185" i="34" s="1"/>
  <c r="I188" i="34"/>
  <c r="J188" i="34" s="1"/>
  <c r="B126" i="34"/>
  <c r="I126" i="34"/>
  <c r="J126" i="34" s="1"/>
  <c r="B129" i="34"/>
  <c r="I129" i="34"/>
  <c r="J129" i="34" s="1"/>
  <c r="B130" i="34"/>
  <c r="I130" i="34"/>
  <c r="J130" i="34" s="1"/>
  <c r="B131" i="34"/>
  <c r="I131" i="34"/>
  <c r="J131" i="34" s="1"/>
  <c r="B132" i="34"/>
  <c r="I132" i="34"/>
  <c r="J132" i="34" s="1"/>
  <c r="B133" i="34"/>
  <c r="I133" i="34"/>
  <c r="J133" i="34" s="1"/>
  <c r="B134" i="34"/>
  <c r="I134" i="34"/>
  <c r="J134" i="34" s="1"/>
  <c r="B135" i="34"/>
  <c r="I135" i="34"/>
  <c r="J135" i="34"/>
  <c r="B136" i="34"/>
  <c r="I136" i="34"/>
  <c r="J136" i="34" s="1"/>
  <c r="B137" i="34"/>
  <c r="I137" i="34"/>
  <c r="J137" i="34" s="1"/>
  <c r="B138" i="34"/>
  <c r="I138" i="34"/>
  <c r="J138" i="34" s="1"/>
  <c r="B139" i="34"/>
  <c r="I139" i="34"/>
  <c r="J139" i="34" s="1"/>
  <c r="B140" i="34"/>
  <c r="I140" i="34"/>
  <c r="J140" i="34" s="1"/>
  <c r="B141" i="34"/>
  <c r="I141" i="34"/>
  <c r="J141" i="34" s="1"/>
  <c r="B142" i="34"/>
  <c r="I142" i="34"/>
  <c r="J142" i="34" s="1"/>
  <c r="B143" i="34"/>
  <c r="I143" i="34"/>
  <c r="J143" i="34" s="1"/>
  <c r="B144" i="34"/>
  <c r="I144" i="34"/>
  <c r="J144" i="34" s="1"/>
  <c r="B145" i="34"/>
  <c r="I145" i="34"/>
  <c r="J145" i="34"/>
  <c r="B146" i="34"/>
  <c r="I146" i="34"/>
  <c r="J146" i="34" s="1"/>
  <c r="B149" i="34"/>
  <c r="I149" i="34"/>
  <c r="J149" i="34" s="1"/>
  <c r="B169" i="9"/>
  <c r="I169" i="9"/>
  <c r="J169" i="9" s="1"/>
  <c r="B172" i="9"/>
  <c r="I172" i="9"/>
  <c r="J172" i="9" s="1"/>
  <c r="B173" i="9"/>
  <c r="I173" i="9"/>
  <c r="J173" i="9" s="1"/>
  <c r="B174" i="9"/>
  <c r="I174" i="9"/>
  <c r="J174" i="9" s="1"/>
  <c r="B175" i="9"/>
  <c r="I175" i="9"/>
  <c r="J175" i="9" s="1"/>
  <c r="B176" i="9"/>
  <c r="I176" i="9"/>
  <c r="J176" i="9" s="1"/>
  <c r="B177" i="9"/>
  <c r="I177" i="9"/>
  <c r="J177" i="9" s="1"/>
  <c r="B178" i="9"/>
  <c r="I178" i="9"/>
  <c r="J178" i="9" s="1"/>
  <c r="B179" i="9"/>
  <c r="I179" i="9"/>
  <c r="J179" i="9" s="1"/>
  <c r="B180" i="9"/>
  <c r="I180" i="9"/>
  <c r="J180" i="9" s="1"/>
  <c r="B181" i="9"/>
  <c r="I181" i="9"/>
  <c r="J181" i="9" s="1"/>
  <c r="B182" i="9"/>
  <c r="I182" i="9"/>
  <c r="J182" i="9" s="1"/>
  <c r="B183" i="9"/>
  <c r="I183" i="9"/>
  <c r="J183" i="9" s="1"/>
  <c r="B184" i="9"/>
  <c r="I184" i="9"/>
  <c r="J184" i="9" s="1"/>
  <c r="B185" i="9"/>
  <c r="I185" i="9"/>
  <c r="J185" i="9" s="1"/>
  <c r="B186" i="9"/>
  <c r="I186" i="9"/>
  <c r="J186" i="9" s="1"/>
  <c r="B187" i="9"/>
  <c r="I187" i="9"/>
  <c r="J187" i="9" s="1"/>
  <c r="B188" i="9"/>
  <c r="I188" i="9"/>
  <c r="J188" i="9" s="1"/>
  <c r="I192" i="9"/>
  <c r="J192" i="9" s="1"/>
  <c r="F189" i="34" l="1"/>
  <c r="F150" i="34"/>
  <c r="I229" i="43" l="1"/>
  <c r="J229" i="43" s="1"/>
  <c r="B229" i="43"/>
  <c r="I226" i="43"/>
  <c r="J226" i="43" s="1"/>
  <c r="B226" i="43"/>
  <c r="I225" i="43"/>
  <c r="J225" i="43" s="1"/>
  <c r="B225" i="43"/>
  <c r="I224" i="43"/>
  <c r="J224" i="43" s="1"/>
  <c r="B224" i="43"/>
  <c r="I223" i="43"/>
  <c r="J223" i="43" s="1"/>
  <c r="B223" i="43"/>
  <c r="I222" i="43"/>
  <c r="J222" i="43" s="1"/>
  <c r="B222" i="43"/>
  <c r="I221" i="43"/>
  <c r="J221" i="43" s="1"/>
  <c r="B221" i="43"/>
  <c r="I220" i="43"/>
  <c r="J220" i="43" s="1"/>
  <c r="B220" i="43"/>
  <c r="I219" i="43"/>
  <c r="J219" i="43" s="1"/>
  <c r="B219" i="43"/>
  <c r="I218" i="43"/>
  <c r="J218" i="43" s="1"/>
  <c r="B218" i="43"/>
  <c r="I217" i="43"/>
  <c r="J217" i="43" s="1"/>
  <c r="B217" i="43"/>
  <c r="I216" i="43"/>
  <c r="J216" i="43" s="1"/>
  <c r="B216" i="43"/>
  <c r="I215" i="43"/>
  <c r="J215" i="43" s="1"/>
  <c r="B215" i="43"/>
  <c r="I214" i="43"/>
  <c r="J214" i="43" s="1"/>
  <c r="B214" i="43"/>
  <c r="I213" i="43"/>
  <c r="J213" i="43" s="1"/>
  <c r="B213" i="43"/>
  <c r="I212" i="43"/>
  <c r="J212" i="43" s="1"/>
  <c r="B212" i="43"/>
  <c r="I211" i="43"/>
  <c r="J211" i="43" s="1"/>
  <c r="B211" i="43"/>
  <c r="J210" i="43"/>
  <c r="I210" i="43"/>
  <c r="B210" i="43"/>
  <c r="I206" i="43"/>
  <c r="J206" i="43" s="1"/>
  <c r="B206" i="43"/>
  <c r="I190" i="43"/>
  <c r="J190" i="43" s="1"/>
  <c r="I187" i="43"/>
  <c r="J187" i="43" s="1"/>
  <c r="B187" i="43"/>
  <c r="I186" i="43"/>
  <c r="J186" i="43" s="1"/>
  <c r="B186" i="43"/>
  <c r="I185" i="43"/>
  <c r="J185" i="43" s="1"/>
  <c r="B185" i="43"/>
  <c r="I184" i="43"/>
  <c r="J184" i="43" s="1"/>
  <c r="B184" i="43"/>
  <c r="I183" i="43"/>
  <c r="J183" i="43" s="1"/>
  <c r="B183" i="43"/>
  <c r="I182" i="43"/>
  <c r="J182" i="43" s="1"/>
  <c r="B182" i="43"/>
  <c r="I181" i="43"/>
  <c r="J181" i="43" s="1"/>
  <c r="B181" i="43"/>
  <c r="I180" i="43"/>
  <c r="J180" i="43" s="1"/>
  <c r="B180" i="43"/>
  <c r="I179" i="43"/>
  <c r="J179" i="43" s="1"/>
  <c r="B179" i="43"/>
  <c r="I178" i="43"/>
  <c r="J178" i="43" s="1"/>
  <c r="B178" i="43"/>
  <c r="I177" i="43"/>
  <c r="J177" i="43" s="1"/>
  <c r="B177" i="43"/>
  <c r="I176" i="43"/>
  <c r="J176" i="43" s="1"/>
  <c r="B176" i="43"/>
  <c r="I175" i="43"/>
  <c r="J175" i="43" s="1"/>
  <c r="B175" i="43"/>
  <c r="I174" i="43"/>
  <c r="J174" i="43" s="1"/>
  <c r="B174" i="43"/>
  <c r="I173" i="43"/>
  <c r="J173" i="43" s="1"/>
  <c r="B173" i="43"/>
  <c r="I172" i="43"/>
  <c r="J172" i="43" s="1"/>
  <c r="B172" i="43"/>
  <c r="I171" i="43"/>
  <c r="J171" i="43" s="1"/>
  <c r="B171" i="43"/>
  <c r="I167" i="43"/>
  <c r="J167" i="43" s="1"/>
  <c r="B167" i="43"/>
  <c r="I151" i="43"/>
  <c r="J151" i="43" s="1"/>
  <c r="I148" i="43"/>
  <c r="J148" i="43" s="1"/>
  <c r="B148" i="43"/>
  <c r="I147" i="43"/>
  <c r="J147" i="43" s="1"/>
  <c r="B147" i="43"/>
  <c r="I146" i="43"/>
  <c r="J146" i="43" s="1"/>
  <c r="B146" i="43"/>
  <c r="I145" i="43"/>
  <c r="J145" i="43" s="1"/>
  <c r="B145" i="43"/>
  <c r="I144" i="43"/>
  <c r="J144" i="43" s="1"/>
  <c r="B144" i="43"/>
  <c r="I143" i="43"/>
  <c r="J143" i="43" s="1"/>
  <c r="B143" i="43"/>
  <c r="I142" i="43"/>
  <c r="J142" i="43" s="1"/>
  <c r="B142" i="43"/>
  <c r="I141" i="43"/>
  <c r="J141" i="43" s="1"/>
  <c r="B141" i="43"/>
  <c r="I140" i="43"/>
  <c r="J140" i="43" s="1"/>
  <c r="B140" i="43"/>
  <c r="I139" i="43"/>
  <c r="J139" i="43" s="1"/>
  <c r="B139" i="43"/>
  <c r="I138" i="43"/>
  <c r="J138" i="43" s="1"/>
  <c r="B138" i="43"/>
  <c r="I137" i="43"/>
  <c r="J137" i="43" s="1"/>
  <c r="B137" i="43"/>
  <c r="I136" i="43"/>
  <c r="J136" i="43" s="1"/>
  <c r="B136" i="43"/>
  <c r="I135" i="43"/>
  <c r="J135" i="43" s="1"/>
  <c r="B135" i="43"/>
  <c r="I134" i="43"/>
  <c r="J134" i="43" s="1"/>
  <c r="B134" i="43"/>
  <c r="I133" i="43"/>
  <c r="J133" i="43" s="1"/>
  <c r="B133" i="43"/>
  <c r="I132" i="43"/>
  <c r="J132" i="43" s="1"/>
  <c r="B132" i="43"/>
  <c r="I128" i="43"/>
  <c r="J128" i="43" s="1"/>
  <c r="B128" i="43"/>
  <c r="I112" i="43"/>
  <c r="J112" i="43" s="1"/>
  <c r="B112" i="43"/>
  <c r="I109" i="43"/>
  <c r="J109" i="43" s="1"/>
  <c r="B109" i="43"/>
  <c r="I108" i="43"/>
  <c r="J108" i="43" s="1"/>
  <c r="B108" i="43"/>
  <c r="I107" i="43"/>
  <c r="J107" i="43" s="1"/>
  <c r="B107" i="43"/>
  <c r="I106" i="43"/>
  <c r="J106" i="43" s="1"/>
  <c r="B106" i="43"/>
  <c r="I105" i="43"/>
  <c r="J105" i="43" s="1"/>
  <c r="B105" i="43"/>
  <c r="I104" i="43"/>
  <c r="J104" i="43" s="1"/>
  <c r="B104" i="43"/>
  <c r="I103" i="43"/>
  <c r="J103" i="43" s="1"/>
  <c r="B103" i="43"/>
  <c r="I102" i="43"/>
  <c r="J102" i="43" s="1"/>
  <c r="B102" i="43"/>
  <c r="I101" i="43"/>
  <c r="J101" i="43" s="1"/>
  <c r="B101" i="43"/>
  <c r="I100" i="43"/>
  <c r="J100" i="43" s="1"/>
  <c r="B100" i="43"/>
  <c r="I99" i="43"/>
  <c r="J99" i="43" s="1"/>
  <c r="B99" i="43"/>
  <c r="I98" i="43"/>
  <c r="J98" i="43" s="1"/>
  <c r="B98" i="43"/>
  <c r="I97" i="43"/>
  <c r="J97" i="43" s="1"/>
  <c r="B97" i="43"/>
  <c r="I96" i="43"/>
  <c r="J96" i="43" s="1"/>
  <c r="B96" i="43"/>
  <c r="I95" i="43"/>
  <c r="J95" i="43" s="1"/>
  <c r="B95" i="43"/>
  <c r="I94" i="43"/>
  <c r="J94" i="43" s="1"/>
  <c r="B94" i="43"/>
  <c r="I93" i="43"/>
  <c r="J93" i="43" s="1"/>
  <c r="B93" i="43"/>
  <c r="I89" i="43"/>
  <c r="J89" i="43" s="1"/>
  <c r="B89" i="43"/>
  <c r="I72" i="43"/>
  <c r="J72" i="43" s="1"/>
  <c r="I69" i="43"/>
  <c r="J69" i="43" s="1"/>
  <c r="B69" i="43"/>
  <c r="I68" i="43"/>
  <c r="J68" i="43" s="1"/>
  <c r="B68" i="43"/>
  <c r="I67" i="43"/>
  <c r="J67" i="43" s="1"/>
  <c r="B67" i="43"/>
  <c r="I66" i="43"/>
  <c r="J66" i="43" s="1"/>
  <c r="B66" i="43"/>
  <c r="I65" i="43"/>
  <c r="J65" i="43" s="1"/>
  <c r="B65" i="43"/>
  <c r="I64" i="43"/>
  <c r="J64" i="43" s="1"/>
  <c r="B64" i="43"/>
  <c r="I63" i="43"/>
  <c r="J63" i="43" s="1"/>
  <c r="B63" i="43"/>
  <c r="I62" i="43"/>
  <c r="J62" i="43" s="1"/>
  <c r="B62" i="43"/>
  <c r="J61" i="43"/>
  <c r="I61" i="43"/>
  <c r="B61" i="43"/>
  <c r="I60" i="43"/>
  <c r="J60" i="43" s="1"/>
  <c r="B60" i="43"/>
  <c r="I59" i="43"/>
  <c r="J59" i="43" s="1"/>
  <c r="B59" i="43"/>
  <c r="I58" i="43"/>
  <c r="J58" i="43" s="1"/>
  <c r="B58" i="43"/>
  <c r="I57" i="43"/>
  <c r="J57" i="43" s="1"/>
  <c r="B57" i="43"/>
  <c r="I56" i="43"/>
  <c r="J56" i="43" s="1"/>
  <c r="B56" i="43"/>
  <c r="I55" i="43"/>
  <c r="J55" i="43" s="1"/>
  <c r="B55" i="43"/>
  <c r="I54" i="43"/>
  <c r="J54" i="43" s="1"/>
  <c r="B54" i="43"/>
  <c r="I53" i="43"/>
  <c r="J53" i="43" s="1"/>
  <c r="B53" i="43"/>
  <c r="I49" i="43"/>
  <c r="J49" i="43" s="1"/>
  <c r="B49" i="43"/>
  <c r="I32" i="43"/>
  <c r="J32" i="43" s="1"/>
  <c r="J29" i="43"/>
  <c r="I29" i="43"/>
  <c r="B29" i="43"/>
  <c r="I28" i="43"/>
  <c r="J28" i="43" s="1"/>
  <c r="B28" i="43"/>
  <c r="I27" i="43"/>
  <c r="J27" i="43" s="1"/>
  <c r="B27" i="43"/>
  <c r="I26" i="43"/>
  <c r="J26" i="43" s="1"/>
  <c r="B26" i="43"/>
  <c r="I25" i="43"/>
  <c r="J25" i="43" s="1"/>
  <c r="B25" i="43"/>
  <c r="I24" i="43"/>
  <c r="J24" i="43" s="1"/>
  <c r="B24" i="43"/>
  <c r="I23" i="43"/>
  <c r="J23" i="43" s="1"/>
  <c r="B23" i="43"/>
  <c r="I22" i="43"/>
  <c r="J22" i="43" s="1"/>
  <c r="B22" i="43"/>
  <c r="I21" i="43"/>
  <c r="J21" i="43" s="1"/>
  <c r="B21" i="43"/>
  <c r="I20" i="43"/>
  <c r="J20" i="43" s="1"/>
  <c r="B20" i="43"/>
  <c r="I19" i="43"/>
  <c r="J19" i="43" s="1"/>
  <c r="B19" i="43"/>
  <c r="I18" i="43"/>
  <c r="J18" i="43" s="1"/>
  <c r="B18" i="43"/>
  <c r="I17" i="43"/>
  <c r="J17" i="43" s="1"/>
  <c r="B17" i="43"/>
  <c r="I16" i="43"/>
  <c r="J16" i="43" s="1"/>
  <c r="B16" i="43"/>
  <c r="I15" i="43"/>
  <c r="J15" i="43" s="1"/>
  <c r="B15" i="43"/>
  <c r="I14" i="43"/>
  <c r="J14" i="43" s="1"/>
  <c r="B14" i="43"/>
  <c r="I13" i="43"/>
  <c r="J13" i="43" s="1"/>
  <c r="B13" i="43"/>
  <c r="I9" i="43"/>
  <c r="J9" i="43" s="1"/>
  <c r="B9" i="43"/>
  <c r="H1" i="43"/>
  <c r="I229" i="42"/>
  <c r="J229" i="42" s="1"/>
  <c r="J226" i="42"/>
  <c r="I226" i="42"/>
  <c r="B226" i="42"/>
  <c r="I225" i="42"/>
  <c r="J225" i="42" s="1"/>
  <c r="B225" i="42"/>
  <c r="I224" i="42"/>
  <c r="J224" i="42" s="1"/>
  <c r="B224" i="42"/>
  <c r="I223" i="42"/>
  <c r="J223" i="42" s="1"/>
  <c r="B223" i="42"/>
  <c r="I222" i="42"/>
  <c r="J222" i="42" s="1"/>
  <c r="B222" i="42"/>
  <c r="I221" i="42"/>
  <c r="J221" i="42" s="1"/>
  <c r="B221" i="42"/>
  <c r="I220" i="42"/>
  <c r="J220" i="42" s="1"/>
  <c r="B220" i="42"/>
  <c r="I219" i="42"/>
  <c r="J219" i="42" s="1"/>
  <c r="B219" i="42"/>
  <c r="J218" i="42"/>
  <c r="I218" i="42"/>
  <c r="B218" i="42"/>
  <c r="I217" i="42"/>
  <c r="J217" i="42" s="1"/>
  <c r="B217" i="42"/>
  <c r="I216" i="42"/>
  <c r="J216" i="42" s="1"/>
  <c r="B216" i="42"/>
  <c r="I215" i="42"/>
  <c r="J215" i="42" s="1"/>
  <c r="B215" i="42"/>
  <c r="I214" i="42"/>
  <c r="J214" i="42" s="1"/>
  <c r="B214" i="42"/>
  <c r="I213" i="42"/>
  <c r="J213" i="42" s="1"/>
  <c r="B213" i="42"/>
  <c r="I212" i="42"/>
  <c r="J212" i="42" s="1"/>
  <c r="B212" i="42"/>
  <c r="I211" i="42"/>
  <c r="J211" i="42" s="1"/>
  <c r="B211" i="42"/>
  <c r="I210" i="42"/>
  <c r="J210" i="42" s="1"/>
  <c r="B210" i="42"/>
  <c r="I206" i="42"/>
  <c r="J206" i="42" s="1"/>
  <c r="B206" i="42"/>
  <c r="I190" i="42"/>
  <c r="J190" i="42" s="1"/>
  <c r="B190" i="42"/>
  <c r="I187" i="42"/>
  <c r="J187" i="42" s="1"/>
  <c r="B187" i="42"/>
  <c r="I186" i="42"/>
  <c r="J186" i="42" s="1"/>
  <c r="B186" i="42"/>
  <c r="I185" i="42"/>
  <c r="J185" i="42" s="1"/>
  <c r="B185" i="42"/>
  <c r="I184" i="42"/>
  <c r="J184" i="42" s="1"/>
  <c r="B184" i="42"/>
  <c r="I183" i="42"/>
  <c r="J183" i="42" s="1"/>
  <c r="B183" i="42"/>
  <c r="I182" i="42"/>
  <c r="J182" i="42" s="1"/>
  <c r="B182" i="42"/>
  <c r="I181" i="42"/>
  <c r="J181" i="42" s="1"/>
  <c r="B181" i="42"/>
  <c r="I180" i="42"/>
  <c r="J180" i="42" s="1"/>
  <c r="B180" i="42"/>
  <c r="I179" i="42"/>
  <c r="J179" i="42" s="1"/>
  <c r="B179" i="42"/>
  <c r="I178" i="42"/>
  <c r="J178" i="42" s="1"/>
  <c r="B178" i="42"/>
  <c r="I177" i="42"/>
  <c r="J177" i="42" s="1"/>
  <c r="B177" i="42"/>
  <c r="I176" i="42"/>
  <c r="J176" i="42" s="1"/>
  <c r="B176" i="42"/>
  <c r="I175" i="42"/>
  <c r="J175" i="42" s="1"/>
  <c r="B175" i="42"/>
  <c r="I174" i="42"/>
  <c r="J174" i="42" s="1"/>
  <c r="B174" i="42"/>
  <c r="I173" i="42"/>
  <c r="J173" i="42" s="1"/>
  <c r="B173" i="42"/>
  <c r="I172" i="42"/>
  <c r="J172" i="42" s="1"/>
  <c r="B172" i="42"/>
  <c r="I171" i="42"/>
  <c r="J171" i="42" s="1"/>
  <c r="B171" i="42"/>
  <c r="I167" i="42"/>
  <c r="J167" i="42" s="1"/>
  <c r="B167" i="42"/>
  <c r="I151" i="42"/>
  <c r="J151" i="42" s="1"/>
  <c r="I148" i="42"/>
  <c r="J148" i="42" s="1"/>
  <c r="B148" i="42"/>
  <c r="I147" i="42"/>
  <c r="J147" i="42" s="1"/>
  <c r="B147" i="42"/>
  <c r="I146" i="42"/>
  <c r="J146" i="42" s="1"/>
  <c r="B146" i="42"/>
  <c r="I145" i="42"/>
  <c r="J145" i="42" s="1"/>
  <c r="B145" i="42"/>
  <c r="I144" i="42"/>
  <c r="J144" i="42" s="1"/>
  <c r="B144" i="42"/>
  <c r="I143" i="42"/>
  <c r="J143" i="42" s="1"/>
  <c r="B143" i="42"/>
  <c r="I142" i="42"/>
  <c r="J142" i="42" s="1"/>
  <c r="B142" i="42"/>
  <c r="I141" i="42"/>
  <c r="J141" i="42" s="1"/>
  <c r="B141" i="42"/>
  <c r="I140" i="42"/>
  <c r="J140" i="42" s="1"/>
  <c r="B140" i="42"/>
  <c r="I139" i="42"/>
  <c r="J139" i="42" s="1"/>
  <c r="B139" i="42"/>
  <c r="I138" i="42"/>
  <c r="J138" i="42" s="1"/>
  <c r="B138" i="42"/>
  <c r="I137" i="42"/>
  <c r="J137" i="42" s="1"/>
  <c r="B137" i="42"/>
  <c r="J136" i="42"/>
  <c r="I136" i="42"/>
  <c r="B136" i="42"/>
  <c r="I135" i="42"/>
  <c r="J135" i="42" s="1"/>
  <c r="B135" i="42"/>
  <c r="I134" i="42"/>
  <c r="J134" i="42" s="1"/>
  <c r="B134" i="42"/>
  <c r="I133" i="42"/>
  <c r="J133" i="42" s="1"/>
  <c r="B133" i="42"/>
  <c r="I132" i="42"/>
  <c r="J132" i="42" s="1"/>
  <c r="B132" i="42"/>
  <c r="I128" i="42"/>
  <c r="J128" i="42" s="1"/>
  <c r="B128" i="42"/>
  <c r="I112" i="42"/>
  <c r="J112" i="42" s="1"/>
  <c r="I109" i="42"/>
  <c r="J109" i="42" s="1"/>
  <c r="B109" i="42"/>
  <c r="I108" i="42"/>
  <c r="J108" i="42" s="1"/>
  <c r="B108" i="42"/>
  <c r="I107" i="42"/>
  <c r="J107" i="42" s="1"/>
  <c r="B107" i="42"/>
  <c r="I106" i="42"/>
  <c r="J106" i="42" s="1"/>
  <c r="B106" i="42"/>
  <c r="J105" i="42"/>
  <c r="I105" i="42"/>
  <c r="B105" i="42"/>
  <c r="I104" i="42"/>
  <c r="J104" i="42" s="1"/>
  <c r="B104" i="42"/>
  <c r="I103" i="42"/>
  <c r="J103" i="42" s="1"/>
  <c r="B103" i="42"/>
  <c r="I102" i="42"/>
  <c r="J102" i="42" s="1"/>
  <c r="B102" i="42"/>
  <c r="I101" i="42"/>
  <c r="J101" i="42" s="1"/>
  <c r="B101" i="42"/>
  <c r="I100" i="42"/>
  <c r="J100" i="42" s="1"/>
  <c r="B100" i="42"/>
  <c r="I99" i="42"/>
  <c r="J99" i="42" s="1"/>
  <c r="B99" i="42"/>
  <c r="I98" i="42"/>
  <c r="J98" i="42" s="1"/>
  <c r="B98" i="42"/>
  <c r="J97" i="42"/>
  <c r="I97" i="42"/>
  <c r="B97" i="42"/>
  <c r="I96" i="42"/>
  <c r="J96" i="42" s="1"/>
  <c r="B96" i="42"/>
  <c r="I95" i="42"/>
  <c r="J95" i="42" s="1"/>
  <c r="B95" i="42"/>
  <c r="I94" i="42"/>
  <c r="J94" i="42" s="1"/>
  <c r="B94" i="42"/>
  <c r="I93" i="42"/>
  <c r="J93" i="42" s="1"/>
  <c r="B93" i="42"/>
  <c r="I89" i="42"/>
  <c r="J89" i="42" s="1"/>
  <c r="B89" i="42"/>
  <c r="I72" i="42"/>
  <c r="J72" i="42" s="1"/>
  <c r="B72" i="42"/>
  <c r="J69" i="42"/>
  <c r="I69" i="42"/>
  <c r="B69" i="42"/>
  <c r="I68" i="42"/>
  <c r="J68" i="42" s="1"/>
  <c r="B68" i="42"/>
  <c r="I67" i="42"/>
  <c r="J67" i="42" s="1"/>
  <c r="B67" i="42"/>
  <c r="I66" i="42"/>
  <c r="J66" i="42" s="1"/>
  <c r="B66" i="42"/>
  <c r="I65" i="42"/>
  <c r="J65" i="42" s="1"/>
  <c r="B65" i="42"/>
  <c r="I64" i="42"/>
  <c r="J64" i="42" s="1"/>
  <c r="B64" i="42"/>
  <c r="I63" i="42"/>
  <c r="J63" i="42" s="1"/>
  <c r="B63" i="42"/>
  <c r="I62" i="42"/>
  <c r="J62" i="42" s="1"/>
  <c r="B62" i="42"/>
  <c r="I61" i="42"/>
  <c r="J61" i="42" s="1"/>
  <c r="B61" i="42"/>
  <c r="I60" i="42"/>
  <c r="J60" i="42" s="1"/>
  <c r="B60" i="42"/>
  <c r="I59" i="42"/>
  <c r="J59" i="42" s="1"/>
  <c r="B59" i="42"/>
  <c r="I58" i="42"/>
  <c r="J58" i="42" s="1"/>
  <c r="B58" i="42"/>
  <c r="I57" i="42"/>
  <c r="J57" i="42" s="1"/>
  <c r="B57" i="42"/>
  <c r="I56" i="42"/>
  <c r="J56" i="42" s="1"/>
  <c r="B56" i="42"/>
  <c r="I55" i="42"/>
  <c r="J55" i="42" s="1"/>
  <c r="B55" i="42"/>
  <c r="J54" i="42"/>
  <c r="B54" i="42"/>
  <c r="I49" i="42"/>
  <c r="J49" i="42" s="1"/>
  <c r="B49" i="42"/>
  <c r="I32" i="42"/>
  <c r="J32" i="42" s="1"/>
  <c r="B32" i="42"/>
  <c r="I29" i="42"/>
  <c r="J29" i="42" s="1"/>
  <c r="B29" i="42"/>
  <c r="I28" i="42"/>
  <c r="J28" i="42" s="1"/>
  <c r="B28" i="42"/>
  <c r="I27" i="42"/>
  <c r="J27" i="42" s="1"/>
  <c r="B27" i="42"/>
  <c r="I26" i="42"/>
  <c r="J26" i="42" s="1"/>
  <c r="B26" i="42"/>
  <c r="J25" i="42"/>
  <c r="I25" i="42"/>
  <c r="B25" i="42"/>
  <c r="I24" i="42"/>
  <c r="J24" i="42" s="1"/>
  <c r="I23" i="42"/>
  <c r="J23" i="42" s="1"/>
  <c r="B23" i="42"/>
  <c r="I22" i="42"/>
  <c r="J22" i="42" s="1"/>
  <c r="B22" i="42"/>
  <c r="J21" i="42"/>
  <c r="I21" i="42"/>
  <c r="B21" i="42"/>
  <c r="I20" i="42"/>
  <c r="J20" i="42" s="1"/>
  <c r="B20" i="42"/>
  <c r="I19" i="42"/>
  <c r="J19" i="42" s="1"/>
  <c r="B19" i="42"/>
  <c r="I18" i="42"/>
  <c r="J18" i="42" s="1"/>
  <c r="B18" i="42"/>
  <c r="I17" i="42"/>
  <c r="J17" i="42" s="1"/>
  <c r="B17" i="42"/>
  <c r="I16" i="42"/>
  <c r="J16" i="42" s="1"/>
  <c r="B16" i="42"/>
  <c r="I15" i="42"/>
  <c r="J15" i="42" s="1"/>
  <c r="B15" i="42"/>
  <c r="I14" i="42"/>
  <c r="J14" i="42" s="1"/>
  <c r="B14" i="42"/>
  <c r="I13" i="42"/>
  <c r="J13" i="42" s="1"/>
  <c r="B13" i="42"/>
  <c r="I9" i="42"/>
  <c r="J9" i="42" s="1"/>
  <c r="B9" i="42"/>
  <c r="H1" i="42"/>
  <c r="I229" i="41"/>
  <c r="J229" i="41" s="1"/>
  <c r="B229" i="41"/>
  <c r="I226" i="41"/>
  <c r="J226" i="41" s="1"/>
  <c r="B226" i="41"/>
  <c r="I225" i="41"/>
  <c r="J225" i="41" s="1"/>
  <c r="B225" i="41"/>
  <c r="I224" i="41"/>
  <c r="J224" i="41" s="1"/>
  <c r="B224" i="41"/>
  <c r="I223" i="41"/>
  <c r="J223" i="41" s="1"/>
  <c r="B223" i="41"/>
  <c r="I222" i="41"/>
  <c r="J222" i="41" s="1"/>
  <c r="B222" i="41"/>
  <c r="I221" i="41"/>
  <c r="J221" i="41" s="1"/>
  <c r="B221" i="41"/>
  <c r="I220" i="41"/>
  <c r="J220" i="41" s="1"/>
  <c r="B220" i="41"/>
  <c r="I219" i="41"/>
  <c r="J219" i="41" s="1"/>
  <c r="B219" i="41"/>
  <c r="I218" i="41"/>
  <c r="J218" i="41" s="1"/>
  <c r="B218" i="41"/>
  <c r="I217" i="41"/>
  <c r="J217" i="41" s="1"/>
  <c r="B217" i="41"/>
  <c r="I216" i="41"/>
  <c r="J216" i="41" s="1"/>
  <c r="B216" i="41"/>
  <c r="I215" i="41"/>
  <c r="J215" i="41" s="1"/>
  <c r="B215" i="41"/>
  <c r="I214" i="41"/>
  <c r="J214" i="41" s="1"/>
  <c r="B214" i="41"/>
  <c r="I213" i="41"/>
  <c r="J213" i="41" s="1"/>
  <c r="B213" i="41"/>
  <c r="I212" i="41"/>
  <c r="J212" i="41" s="1"/>
  <c r="B212" i="41"/>
  <c r="I211" i="41"/>
  <c r="J211" i="41" s="1"/>
  <c r="B211" i="41"/>
  <c r="J210" i="41"/>
  <c r="I210" i="41"/>
  <c r="B210" i="41"/>
  <c r="I206" i="41"/>
  <c r="J206" i="41" s="1"/>
  <c r="B206" i="41"/>
  <c r="I190" i="41"/>
  <c r="J190" i="41" s="1"/>
  <c r="I187" i="41"/>
  <c r="J187" i="41" s="1"/>
  <c r="B187" i="41"/>
  <c r="I186" i="41"/>
  <c r="J186" i="41" s="1"/>
  <c r="B186" i="41"/>
  <c r="I185" i="41"/>
  <c r="J185" i="41" s="1"/>
  <c r="B185" i="41"/>
  <c r="I184" i="41"/>
  <c r="J184" i="41" s="1"/>
  <c r="B184" i="41"/>
  <c r="I183" i="41"/>
  <c r="J183" i="41" s="1"/>
  <c r="B183" i="41"/>
  <c r="I182" i="41"/>
  <c r="J182" i="41" s="1"/>
  <c r="B182" i="41"/>
  <c r="I181" i="41"/>
  <c r="J181" i="41" s="1"/>
  <c r="B181" i="41"/>
  <c r="I180" i="41"/>
  <c r="J180" i="41" s="1"/>
  <c r="B180" i="41"/>
  <c r="J179" i="41"/>
  <c r="I179" i="41"/>
  <c r="B179" i="41"/>
  <c r="I178" i="41"/>
  <c r="J178" i="41" s="1"/>
  <c r="B178" i="41"/>
  <c r="I177" i="41"/>
  <c r="J177" i="41" s="1"/>
  <c r="B177" i="41"/>
  <c r="I176" i="41"/>
  <c r="J176" i="41" s="1"/>
  <c r="B176" i="41"/>
  <c r="J175" i="41"/>
  <c r="I175" i="41"/>
  <c r="B175" i="41"/>
  <c r="I174" i="41"/>
  <c r="J174" i="41" s="1"/>
  <c r="B174" i="41"/>
  <c r="I173" i="41"/>
  <c r="J173" i="41" s="1"/>
  <c r="B173" i="41"/>
  <c r="I172" i="41"/>
  <c r="J172" i="41" s="1"/>
  <c r="B172" i="41"/>
  <c r="J171" i="41"/>
  <c r="I171" i="41"/>
  <c r="B171" i="41"/>
  <c r="I167" i="41"/>
  <c r="J167" i="41" s="1"/>
  <c r="B167" i="41"/>
  <c r="I151" i="41"/>
  <c r="J151" i="41" s="1"/>
  <c r="B151" i="41"/>
  <c r="J148" i="41"/>
  <c r="I148" i="41"/>
  <c r="B148" i="41"/>
  <c r="I147" i="41"/>
  <c r="J147" i="41" s="1"/>
  <c r="B147" i="41"/>
  <c r="I146" i="41"/>
  <c r="J146" i="41" s="1"/>
  <c r="B146" i="41"/>
  <c r="I145" i="41"/>
  <c r="J145" i="41" s="1"/>
  <c r="B145" i="41"/>
  <c r="J144" i="41"/>
  <c r="I144" i="41"/>
  <c r="B144" i="41"/>
  <c r="I143" i="41"/>
  <c r="J143" i="41" s="1"/>
  <c r="B143" i="41"/>
  <c r="I142" i="41"/>
  <c r="J142" i="41" s="1"/>
  <c r="B142" i="41"/>
  <c r="I141" i="41"/>
  <c r="J141" i="41" s="1"/>
  <c r="B141" i="41"/>
  <c r="I140" i="41"/>
  <c r="J140" i="41" s="1"/>
  <c r="B140" i="41"/>
  <c r="I139" i="41"/>
  <c r="J139" i="41" s="1"/>
  <c r="B139" i="41"/>
  <c r="I138" i="41"/>
  <c r="J138" i="41" s="1"/>
  <c r="B138" i="41"/>
  <c r="I137" i="41"/>
  <c r="J137" i="41" s="1"/>
  <c r="B137" i="41"/>
  <c r="I136" i="41"/>
  <c r="J136" i="41" s="1"/>
  <c r="B136" i="41"/>
  <c r="I135" i="41"/>
  <c r="J135" i="41" s="1"/>
  <c r="B135" i="41"/>
  <c r="I134" i="41"/>
  <c r="J134" i="41" s="1"/>
  <c r="B134" i="41"/>
  <c r="I133" i="41"/>
  <c r="J133" i="41" s="1"/>
  <c r="B133" i="41"/>
  <c r="I132" i="41"/>
  <c r="J132" i="41" s="1"/>
  <c r="B132" i="41"/>
  <c r="I128" i="41"/>
  <c r="J128" i="41" s="1"/>
  <c r="B128" i="41"/>
  <c r="I112" i="41"/>
  <c r="J112" i="41" s="1"/>
  <c r="I109" i="41"/>
  <c r="J109" i="41" s="1"/>
  <c r="B109" i="41"/>
  <c r="I108" i="41"/>
  <c r="J108" i="41" s="1"/>
  <c r="B108" i="41"/>
  <c r="I107" i="41"/>
  <c r="J107" i="41" s="1"/>
  <c r="B107" i="41"/>
  <c r="I106" i="41"/>
  <c r="J106" i="41" s="1"/>
  <c r="B106" i="41"/>
  <c r="I105" i="41"/>
  <c r="J105" i="41" s="1"/>
  <c r="B105" i="41"/>
  <c r="I104" i="41"/>
  <c r="J104" i="41" s="1"/>
  <c r="B104" i="41"/>
  <c r="I103" i="41"/>
  <c r="J103" i="41" s="1"/>
  <c r="B103" i="41"/>
  <c r="I102" i="41"/>
  <c r="J102" i="41" s="1"/>
  <c r="B102" i="41"/>
  <c r="I101" i="41"/>
  <c r="J101" i="41" s="1"/>
  <c r="B101" i="41"/>
  <c r="I100" i="41"/>
  <c r="J100" i="41" s="1"/>
  <c r="B100" i="41"/>
  <c r="I99" i="41"/>
  <c r="J99" i="41" s="1"/>
  <c r="B99" i="41"/>
  <c r="I98" i="41"/>
  <c r="J98" i="41" s="1"/>
  <c r="B98" i="41"/>
  <c r="I97" i="41"/>
  <c r="J97" i="41" s="1"/>
  <c r="B97" i="41"/>
  <c r="I96" i="41"/>
  <c r="J96" i="41" s="1"/>
  <c r="B96" i="41"/>
  <c r="I95" i="41"/>
  <c r="J95" i="41" s="1"/>
  <c r="B95" i="41"/>
  <c r="I94" i="41"/>
  <c r="J94" i="41" s="1"/>
  <c r="B94" i="41"/>
  <c r="I93" i="41"/>
  <c r="J93" i="41" s="1"/>
  <c r="B93" i="41"/>
  <c r="I89" i="41"/>
  <c r="J89" i="41" s="1"/>
  <c r="B89" i="41"/>
  <c r="I72" i="41"/>
  <c r="J72" i="41" s="1"/>
  <c r="I69" i="41"/>
  <c r="J69" i="41" s="1"/>
  <c r="B69" i="41"/>
  <c r="I68" i="41"/>
  <c r="J68" i="41" s="1"/>
  <c r="B68" i="41"/>
  <c r="I67" i="41"/>
  <c r="J67" i="41" s="1"/>
  <c r="B67" i="41"/>
  <c r="I66" i="41"/>
  <c r="J66" i="41" s="1"/>
  <c r="B66" i="41"/>
  <c r="I65" i="41"/>
  <c r="J65" i="41" s="1"/>
  <c r="B65" i="41"/>
  <c r="I64" i="41"/>
  <c r="J64" i="41" s="1"/>
  <c r="B64" i="41"/>
  <c r="I63" i="41"/>
  <c r="J63" i="41" s="1"/>
  <c r="B63" i="41"/>
  <c r="I62" i="41"/>
  <c r="J62" i="41" s="1"/>
  <c r="B62" i="41"/>
  <c r="I61" i="41"/>
  <c r="J61" i="41" s="1"/>
  <c r="B61" i="41"/>
  <c r="I60" i="41"/>
  <c r="J60" i="41" s="1"/>
  <c r="B60" i="41"/>
  <c r="I59" i="41"/>
  <c r="J59" i="41" s="1"/>
  <c r="B59" i="41"/>
  <c r="I58" i="41"/>
  <c r="J58" i="41" s="1"/>
  <c r="B58" i="41"/>
  <c r="J57" i="41"/>
  <c r="I57" i="41"/>
  <c r="B57" i="41"/>
  <c r="I56" i="41"/>
  <c r="J56" i="41" s="1"/>
  <c r="B56" i="41"/>
  <c r="I55" i="41"/>
  <c r="J55" i="41" s="1"/>
  <c r="B55" i="41"/>
  <c r="I54" i="41"/>
  <c r="J54" i="41" s="1"/>
  <c r="B54" i="41"/>
  <c r="J53" i="41"/>
  <c r="I53" i="41"/>
  <c r="B53" i="41"/>
  <c r="I49" i="41"/>
  <c r="J49" i="41" s="1"/>
  <c r="B49" i="41"/>
  <c r="I32" i="41"/>
  <c r="J32" i="41" s="1"/>
  <c r="I29" i="41"/>
  <c r="J29" i="41" s="1"/>
  <c r="B29" i="41"/>
  <c r="I28" i="41"/>
  <c r="J28" i="41" s="1"/>
  <c r="B28" i="41"/>
  <c r="I27" i="41"/>
  <c r="J27" i="41" s="1"/>
  <c r="B27" i="41"/>
  <c r="I26" i="41"/>
  <c r="J26" i="41" s="1"/>
  <c r="B26" i="41"/>
  <c r="J25" i="41"/>
  <c r="I25" i="41"/>
  <c r="B25" i="41"/>
  <c r="I24" i="41"/>
  <c r="J24" i="41" s="1"/>
  <c r="B24" i="41"/>
  <c r="I23" i="41"/>
  <c r="J23" i="41" s="1"/>
  <c r="B23" i="41"/>
  <c r="I22" i="41"/>
  <c r="J22" i="41" s="1"/>
  <c r="B22" i="41"/>
  <c r="J21" i="41"/>
  <c r="I21" i="41"/>
  <c r="B21" i="41"/>
  <c r="I20" i="41"/>
  <c r="J20" i="41" s="1"/>
  <c r="B20" i="41"/>
  <c r="I19" i="41"/>
  <c r="J19" i="41" s="1"/>
  <c r="B19" i="41"/>
  <c r="I18" i="41"/>
  <c r="J18" i="41" s="1"/>
  <c r="B18" i="41"/>
  <c r="J17" i="41"/>
  <c r="I17" i="41"/>
  <c r="B17" i="41"/>
  <c r="I16" i="41"/>
  <c r="J16" i="41" s="1"/>
  <c r="B16" i="41"/>
  <c r="I15" i="41"/>
  <c r="J15" i="41" s="1"/>
  <c r="B15" i="41"/>
  <c r="I14" i="41"/>
  <c r="J14" i="41" s="1"/>
  <c r="B14" i="41"/>
  <c r="I13" i="41"/>
  <c r="J13" i="41" s="1"/>
  <c r="B13" i="41"/>
  <c r="I9" i="41"/>
  <c r="J9" i="41" s="1"/>
  <c r="B9" i="41"/>
  <c r="H1" i="41"/>
  <c r="I229" i="40"/>
  <c r="J229" i="40" s="1"/>
  <c r="I226" i="40"/>
  <c r="J226" i="40" s="1"/>
  <c r="B226" i="40"/>
  <c r="I225" i="40"/>
  <c r="J225" i="40" s="1"/>
  <c r="B225" i="40"/>
  <c r="I224" i="40"/>
  <c r="J224" i="40" s="1"/>
  <c r="B224" i="40"/>
  <c r="I223" i="40"/>
  <c r="J223" i="40" s="1"/>
  <c r="B223" i="40"/>
  <c r="I222" i="40"/>
  <c r="J222" i="40" s="1"/>
  <c r="B222" i="40"/>
  <c r="I221" i="40"/>
  <c r="J221" i="40" s="1"/>
  <c r="B221" i="40"/>
  <c r="I220" i="40"/>
  <c r="J220" i="40" s="1"/>
  <c r="B220" i="40"/>
  <c r="I219" i="40"/>
  <c r="J219" i="40" s="1"/>
  <c r="B219" i="40"/>
  <c r="J218" i="40"/>
  <c r="I218" i="40"/>
  <c r="B218" i="40"/>
  <c r="I217" i="40"/>
  <c r="J217" i="40" s="1"/>
  <c r="B217" i="40"/>
  <c r="I216" i="40"/>
  <c r="J216" i="40" s="1"/>
  <c r="B216" i="40"/>
  <c r="I215" i="40"/>
  <c r="J215" i="40" s="1"/>
  <c r="B215" i="40"/>
  <c r="I214" i="40"/>
  <c r="J214" i="40" s="1"/>
  <c r="B214" i="40"/>
  <c r="I213" i="40"/>
  <c r="J213" i="40" s="1"/>
  <c r="B213" i="40"/>
  <c r="I212" i="40"/>
  <c r="J212" i="40" s="1"/>
  <c r="B212" i="40"/>
  <c r="I211" i="40"/>
  <c r="J211" i="40" s="1"/>
  <c r="B211" i="40"/>
  <c r="I210" i="40"/>
  <c r="J210" i="40" s="1"/>
  <c r="B210" i="40"/>
  <c r="I206" i="40"/>
  <c r="J206" i="40" s="1"/>
  <c r="B206" i="40"/>
  <c r="I190" i="40"/>
  <c r="J190" i="40" s="1"/>
  <c r="B190" i="40"/>
  <c r="I187" i="40"/>
  <c r="J187" i="40" s="1"/>
  <c r="B187" i="40"/>
  <c r="I186" i="40"/>
  <c r="J186" i="40" s="1"/>
  <c r="B186" i="40"/>
  <c r="I185" i="40"/>
  <c r="J185" i="40" s="1"/>
  <c r="B185" i="40"/>
  <c r="I184" i="40"/>
  <c r="J184" i="40" s="1"/>
  <c r="B184" i="40"/>
  <c r="J183" i="40"/>
  <c r="I183" i="40"/>
  <c r="B183" i="40"/>
  <c r="I182" i="40"/>
  <c r="J182" i="40" s="1"/>
  <c r="B182" i="40"/>
  <c r="I181" i="40"/>
  <c r="J181" i="40" s="1"/>
  <c r="B181" i="40"/>
  <c r="I180" i="40"/>
  <c r="J180" i="40" s="1"/>
  <c r="B180" i="40"/>
  <c r="I179" i="40"/>
  <c r="J179" i="40" s="1"/>
  <c r="B179" i="40"/>
  <c r="I178" i="40"/>
  <c r="J178" i="40" s="1"/>
  <c r="B178" i="40"/>
  <c r="I177" i="40"/>
  <c r="J177" i="40" s="1"/>
  <c r="B177" i="40"/>
  <c r="I176" i="40"/>
  <c r="J176" i="40" s="1"/>
  <c r="B176" i="40"/>
  <c r="I175" i="40"/>
  <c r="J175" i="40" s="1"/>
  <c r="B175" i="40"/>
  <c r="I174" i="40"/>
  <c r="J174" i="40" s="1"/>
  <c r="B174" i="40"/>
  <c r="I173" i="40"/>
  <c r="J173" i="40" s="1"/>
  <c r="B173" i="40"/>
  <c r="I172" i="40"/>
  <c r="J172" i="40" s="1"/>
  <c r="B172" i="40"/>
  <c r="I171" i="40"/>
  <c r="J171" i="40" s="1"/>
  <c r="B171" i="40"/>
  <c r="I167" i="40"/>
  <c r="J167" i="40" s="1"/>
  <c r="B167" i="40"/>
  <c r="I151" i="40"/>
  <c r="J151" i="40" s="1"/>
  <c r="I148" i="40"/>
  <c r="J148" i="40" s="1"/>
  <c r="B148" i="40"/>
  <c r="I147" i="40"/>
  <c r="J147" i="40" s="1"/>
  <c r="B147" i="40"/>
  <c r="I146" i="40"/>
  <c r="J146" i="40" s="1"/>
  <c r="B146" i="40"/>
  <c r="I145" i="40"/>
  <c r="J145" i="40" s="1"/>
  <c r="B145" i="40"/>
  <c r="I144" i="40"/>
  <c r="J144" i="40" s="1"/>
  <c r="B144" i="40"/>
  <c r="I143" i="40"/>
  <c r="J143" i="40" s="1"/>
  <c r="B143" i="40"/>
  <c r="I142" i="40"/>
  <c r="J142" i="40" s="1"/>
  <c r="B142" i="40"/>
  <c r="I141" i="40"/>
  <c r="J141" i="40" s="1"/>
  <c r="B141" i="40"/>
  <c r="I140" i="40"/>
  <c r="J140" i="40" s="1"/>
  <c r="B140" i="40"/>
  <c r="I139" i="40"/>
  <c r="J139" i="40" s="1"/>
  <c r="B139" i="40"/>
  <c r="I138" i="40"/>
  <c r="J138" i="40" s="1"/>
  <c r="B138" i="40"/>
  <c r="I137" i="40"/>
  <c r="J137" i="40" s="1"/>
  <c r="B137" i="40"/>
  <c r="I136" i="40"/>
  <c r="J136" i="40" s="1"/>
  <c r="B136" i="40"/>
  <c r="I135" i="40"/>
  <c r="J135" i="40" s="1"/>
  <c r="B135" i="40"/>
  <c r="I134" i="40"/>
  <c r="J134" i="40" s="1"/>
  <c r="B134" i="40"/>
  <c r="I133" i="40"/>
  <c r="J133" i="40" s="1"/>
  <c r="B133" i="40"/>
  <c r="J132" i="40"/>
  <c r="I132" i="40"/>
  <c r="B132" i="40"/>
  <c r="I128" i="40"/>
  <c r="J128" i="40" s="1"/>
  <c r="B128" i="40"/>
  <c r="I112" i="40"/>
  <c r="J112" i="40" s="1"/>
  <c r="I109" i="40"/>
  <c r="J109" i="40" s="1"/>
  <c r="B109" i="40"/>
  <c r="I108" i="40"/>
  <c r="J108" i="40" s="1"/>
  <c r="B108" i="40"/>
  <c r="I107" i="40"/>
  <c r="J107" i="40" s="1"/>
  <c r="B107" i="40"/>
  <c r="I106" i="40"/>
  <c r="J106" i="40" s="1"/>
  <c r="B106" i="40"/>
  <c r="I105" i="40"/>
  <c r="J105" i="40" s="1"/>
  <c r="B105" i="40"/>
  <c r="I104" i="40"/>
  <c r="J104" i="40" s="1"/>
  <c r="B104" i="40"/>
  <c r="I103" i="40"/>
  <c r="J103" i="40" s="1"/>
  <c r="B103" i="40"/>
  <c r="I102" i="40"/>
  <c r="J102" i="40" s="1"/>
  <c r="B102" i="40"/>
  <c r="I101" i="40"/>
  <c r="J101" i="40" s="1"/>
  <c r="B101" i="40"/>
  <c r="I100" i="40"/>
  <c r="J100" i="40" s="1"/>
  <c r="B100" i="40"/>
  <c r="I99" i="40"/>
  <c r="J99" i="40" s="1"/>
  <c r="B99" i="40"/>
  <c r="I98" i="40"/>
  <c r="J98" i="40" s="1"/>
  <c r="B98" i="40"/>
  <c r="I97" i="40"/>
  <c r="J97" i="40" s="1"/>
  <c r="B97" i="40"/>
  <c r="I96" i="40"/>
  <c r="J96" i="40" s="1"/>
  <c r="B96" i="40"/>
  <c r="I95" i="40"/>
  <c r="J95" i="40" s="1"/>
  <c r="B95" i="40"/>
  <c r="I94" i="40"/>
  <c r="J94" i="40" s="1"/>
  <c r="B94" i="40"/>
  <c r="I93" i="40"/>
  <c r="J93" i="40" s="1"/>
  <c r="B93" i="40"/>
  <c r="I89" i="40"/>
  <c r="J89" i="40" s="1"/>
  <c r="B89" i="40"/>
  <c r="I72" i="40"/>
  <c r="J72" i="40" s="1"/>
  <c r="I69" i="40"/>
  <c r="J69" i="40" s="1"/>
  <c r="B69" i="40"/>
  <c r="I68" i="40"/>
  <c r="J68" i="40" s="1"/>
  <c r="B68" i="40"/>
  <c r="I67" i="40"/>
  <c r="J67" i="40" s="1"/>
  <c r="B67" i="40"/>
  <c r="I66" i="40"/>
  <c r="J66" i="40" s="1"/>
  <c r="B66" i="40"/>
  <c r="I65" i="40"/>
  <c r="J65" i="40" s="1"/>
  <c r="B65" i="40"/>
  <c r="I64" i="40"/>
  <c r="J64" i="40" s="1"/>
  <c r="B64" i="40"/>
  <c r="I63" i="40"/>
  <c r="J63" i="40" s="1"/>
  <c r="B63" i="40"/>
  <c r="I62" i="40"/>
  <c r="J62" i="40" s="1"/>
  <c r="B62" i="40"/>
  <c r="I61" i="40"/>
  <c r="J61" i="40" s="1"/>
  <c r="B61" i="40"/>
  <c r="I60" i="40"/>
  <c r="J60" i="40" s="1"/>
  <c r="B60" i="40"/>
  <c r="I59" i="40"/>
  <c r="J59" i="40" s="1"/>
  <c r="B59" i="40"/>
  <c r="I58" i="40"/>
  <c r="J58" i="40" s="1"/>
  <c r="B58" i="40"/>
  <c r="I57" i="40"/>
  <c r="J57" i="40" s="1"/>
  <c r="B57" i="40"/>
  <c r="I56" i="40"/>
  <c r="J56" i="40" s="1"/>
  <c r="B56" i="40"/>
  <c r="I55" i="40"/>
  <c r="J55" i="40" s="1"/>
  <c r="B55" i="40"/>
  <c r="I54" i="40"/>
  <c r="J54" i="40" s="1"/>
  <c r="B54" i="40"/>
  <c r="I53" i="40"/>
  <c r="J53" i="40" s="1"/>
  <c r="B53" i="40"/>
  <c r="I49" i="40"/>
  <c r="J49" i="40" s="1"/>
  <c r="B49" i="40"/>
  <c r="I32" i="40"/>
  <c r="J32" i="40" s="1"/>
  <c r="I29" i="40"/>
  <c r="J29" i="40" s="1"/>
  <c r="B29" i="40"/>
  <c r="I28" i="40"/>
  <c r="J28" i="40" s="1"/>
  <c r="B28" i="40"/>
  <c r="I27" i="40"/>
  <c r="J27" i="40" s="1"/>
  <c r="B27" i="40"/>
  <c r="I26" i="40"/>
  <c r="J26" i="40" s="1"/>
  <c r="B26" i="40"/>
  <c r="I25" i="40"/>
  <c r="J25" i="40" s="1"/>
  <c r="B25" i="40"/>
  <c r="I24" i="40"/>
  <c r="J24" i="40" s="1"/>
  <c r="B24" i="40"/>
  <c r="I23" i="40"/>
  <c r="J23" i="40" s="1"/>
  <c r="B23" i="40"/>
  <c r="I22" i="40"/>
  <c r="J22" i="40" s="1"/>
  <c r="B22" i="40"/>
  <c r="I21" i="40"/>
  <c r="J21" i="40" s="1"/>
  <c r="B21" i="40"/>
  <c r="I20" i="40"/>
  <c r="J20" i="40" s="1"/>
  <c r="B20" i="40"/>
  <c r="I19" i="40"/>
  <c r="J19" i="40" s="1"/>
  <c r="B19" i="40"/>
  <c r="I18" i="40"/>
  <c r="J18" i="40" s="1"/>
  <c r="B18" i="40"/>
  <c r="I17" i="40"/>
  <c r="J17" i="40" s="1"/>
  <c r="B17" i="40"/>
  <c r="I16" i="40"/>
  <c r="J16" i="40" s="1"/>
  <c r="B16" i="40"/>
  <c r="I15" i="40"/>
  <c r="J15" i="40" s="1"/>
  <c r="B15" i="40"/>
  <c r="I14" i="40"/>
  <c r="J14" i="40" s="1"/>
  <c r="B14" i="40"/>
  <c r="I13" i="40"/>
  <c r="J13" i="40" s="1"/>
  <c r="B13" i="40"/>
  <c r="I9" i="40"/>
  <c r="J9" i="40" s="1"/>
  <c r="B9" i="40"/>
  <c r="H1" i="40"/>
  <c r="B243" i="34"/>
  <c r="I243" i="34"/>
  <c r="J243" i="34" s="1"/>
  <c r="B246" i="34"/>
  <c r="I246" i="34"/>
  <c r="J246" i="34" s="1"/>
  <c r="B247" i="34"/>
  <c r="I247" i="34"/>
  <c r="J247" i="34" s="1"/>
  <c r="B248" i="34"/>
  <c r="I248" i="34"/>
  <c r="J248" i="34" s="1"/>
  <c r="B249" i="34"/>
  <c r="I249" i="34"/>
  <c r="J249" i="34" s="1"/>
  <c r="B250" i="34"/>
  <c r="I250" i="34"/>
  <c r="J250" i="34" s="1"/>
  <c r="B251" i="34"/>
  <c r="I251" i="34"/>
  <c r="J251" i="34" s="1"/>
  <c r="B252" i="34"/>
  <c r="I252" i="34"/>
  <c r="J252" i="34" s="1"/>
  <c r="B253" i="34"/>
  <c r="I253" i="34"/>
  <c r="J253" i="34" s="1"/>
  <c r="B254" i="34"/>
  <c r="I254" i="34"/>
  <c r="J254" i="34" s="1"/>
  <c r="B255" i="34"/>
  <c r="I255" i="34"/>
  <c r="J255" i="34" s="1"/>
  <c r="B256" i="34"/>
  <c r="I256" i="34"/>
  <c r="J256" i="34" s="1"/>
  <c r="B257" i="34"/>
  <c r="I257" i="34"/>
  <c r="J257" i="34" s="1"/>
  <c r="B258" i="34"/>
  <c r="I258" i="34"/>
  <c r="J258" i="34"/>
  <c r="B259" i="34"/>
  <c r="I259" i="34"/>
  <c r="J259" i="34" s="1"/>
  <c r="B260" i="34"/>
  <c r="I260" i="34"/>
  <c r="J260" i="34" s="1"/>
  <c r="B261" i="34"/>
  <c r="I261" i="34"/>
  <c r="J261" i="34" s="1"/>
  <c r="B262" i="34"/>
  <c r="I262" i="34"/>
  <c r="J262" i="34" s="1"/>
  <c r="B263" i="34"/>
  <c r="I263" i="34"/>
  <c r="J263" i="34" s="1"/>
  <c r="B266" i="34"/>
  <c r="I266" i="34"/>
  <c r="J266" i="34" s="1"/>
  <c r="L59" i="33" l="1"/>
  <c r="L29" i="33"/>
  <c r="L39" i="33"/>
  <c r="L49" i="33"/>
  <c r="J2" i="33"/>
  <c r="B58" i="33"/>
  <c r="B38" i="33"/>
  <c r="B28" i="33"/>
  <c r="J6" i="33" s="1"/>
  <c r="B48" i="33"/>
  <c r="J38" i="33"/>
  <c r="J58" i="33"/>
  <c r="J48" i="33"/>
  <c r="J28" i="33"/>
  <c r="D58" i="33"/>
  <c r="D28" i="33"/>
  <c r="D38" i="33"/>
  <c r="D48" i="33"/>
  <c r="H29" i="33"/>
  <c r="H39" i="33"/>
  <c r="H59" i="33"/>
  <c r="H49" i="33"/>
  <c r="F193" i="43"/>
  <c r="F49" i="33"/>
  <c r="F39" i="33"/>
  <c r="F29" i="33"/>
  <c r="F59" i="33"/>
  <c r="L38" i="33"/>
  <c r="L58" i="33"/>
  <c r="L48" i="33"/>
  <c r="L28" i="33"/>
  <c r="H28" i="33"/>
  <c r="H58" i="33"/>
  <c r="H38" i="33"/>
  <c r="H48" i="33"/>
  <c r="B39" i="33"/>
  <c r="B49" i="33"/>
  <c r="B29" i="33"/>
  <c r="B59" i="33"/>
  <c r="F28" i="33"/>
  <c r="F38" i="33"/>
  <c r="F58" i="33"/>
  <c r="F48" i="33"/>
  <c r="J29" i="33"/>
  <c r="J59" i="33"/>
  <c r="J49" i="33"/>
  <c r="J39" i="33"/>
  <c r="F35" i="41"/>
  <c r="F35" i="43"/>
  <c r="F60" i="33"/>
  <c r="F40" i="33"/>
  <c r="F50" i="33"/>
  <c r="F30" i="33"/>
  <c r="D60" i="33"/>
  <c r="D40" i="33"/>
  <c r="D50" i="33"/>
  <c r="D30" i="33"/>
  <c r="H50" i="33"/>
  <c r="H30" i="33"/>
  <c r="H60" i="33"/>
  <c r="H40" i="33"/>
  <c r="N2" i="33"/>
  <c r="B50" i="33"/>
  <c r="B30" i="33"/>
  <c r="B60" i="33"/>
  <c r="B40" i="33"/>
  <c r="L60" i="33"/>
  <c r="L40" i="33"/>
  <c r="L50" i="33"/>
  <c r="L30" i="33"/>
  <c r="J50" i="33"/>
  <c r="J30" i="33"/>
  <c r="J60" i="33"/>
  <c r="J40" i="33"/>
  <c r="L2" i="33"/>
  <c r="D49" i="33"/>
  <c r="D29" i="33"/>
  <c r="L6" i="33" s="1"/>
  <c r="D39" i="33"/>
  <c r="D59" i="33"/>
  <c r="L18" i="33" s="1"/>
  <c r="F193" i="40"/>
  <c r="F35" i="40"/>
  <c r="J57" i="33"/>
  <c r="J37" i="33"/>
  <c r="J27" i="33"/>
  <c r="J47" i="33"/>
  <c r="D57" i="33"/>
  <c r="D27" i="33"/>
  <c r="D47" i="33"/>
  <c r="D37" i="33"/>
  <c r="H47" i="33"/>
  <c r="H57" i="33"/>
  <c r="H37" i="33"/>
  <c r="H27" i="33"/>
  <c r="H2" i="33"/>
  <c r="B37" i="33"/>
  <c r="B57" i="33"/>
  <c r="B27" i="33"/>
  <c r="B47" i="33"/>
  <c r="F27" i="33"/>
  <c r="F47" i="33"/>
  <c r="F57" i="33"/>
  <c r="F37" i="33"/>
  <c r="L57" i="33"/>
  <c r="L37" i="33"/>
  <c r="L27" i="33"/>
  <c r="L47" i="33"/>
  <c r="F156" i="43"/>
  <c r="F152" i="43"/>
  <c r="F117" i="43"/>
  <c r="F113" i="43"/>
  <c r="F154" i="43"/>
  <c r="F77" i="43"/>
  <c r="F73" i="43"/>
  <c r="F115" i="43"/>
  <c r="F234" i="43"/>
  <c r="F230" i="43"/>
  <c r="F37" i="43"/>
  <c r="F33" i="43"/>
  <c r="F75" i="43"/>
  <c r="F195" i="43"/>
  <c r="F191" i="43"/>
  <c r="F232" i="43"/>
  <c r="F117" i="42"/>
  <c r="F113" i="42"/>
  <c r="F154" i="42"/>
  <c r="F77" i="42"/>
  <c r="F73" i="42"/>
  <c r="F115" i="42"/>
  <c r="F37" i="42"/>
  <c r="F33" i="42"/>
  <c r="F35" i="42"/>
  <c r="F156" i="42"/>
  <c r="F152" i="42"/>
  <c r="F193" i="42"/>
  <c r="F234" i="42"/>
  <c r="F230" i="42"/>
  <c r="F75" i="42"/>
  <c r="F195" i="42"/>
  <c r="F191" i="42"/>
  <c r="F232" i="42"/>
  <c r="F193" i="41"/>
  <c r="F154" i="41"/>
  <c r="F77" i="41"/>
  <c r="F73" i="41"/>
  <c r="F115" i="41"/>
  <c r="F234" i="41"/>
  <c r="F230" i="41"/>
  <c r="F156" i="41"/>
  <c r="F152" i="41"/>
  <c r="F117" i="41"/>
  <c r="F113" i="41"/>
  <c r="F37" i="41"/>
  <c r="F33" i="41"/>
  <c r="F75" i="41"/>
  <c r="F195" i="41"/>
  <c r="F191" i="41"/>
  <c r="F232" i="41"/>
  <c r="F156" i="40"/>
  <c r="F152" i="40"/>
  <c r="F117" i="40"/>
  <c r="F113" i="40"/>
  <c r="F154" i="40"/>
  <c r="F77" i="40"/>
  <c r="F73" i="40"/>
  <c r="F115" i="40"/>
  <c r="F234" i="40"/>
  <c r="F230" i="40"/>
  <c r="F37" i="40"/>
  <c r="F33" i="40"/>
  <c r="F75" i="40"/>
  <c r="F195" i="40"/>
  <c r="F191" i="40"/>
  <c r="F232" i="40"/>
  <c r="F271" i="34"/>
  <c r="F267" i="34"/>
  <c r="F269" i="34"/>
  <c r="F154" i="34"/>
  <c r="F152" i="34"/>
  <c r="J18" i="33" l="1"/>
  <c r="J10" i="33"/>
  <c r="L10" i="33"/>
  <c r="L14" i="33"/>
  <c r="J14" i="33"/>
  <c r="N6" i="33"/>
  <c r="N14" i="33"/>
  <c r="N10" i="33"/>
  <c r="N18" i="33"/>
  <c r="H6" i="33"/>
  <c r="H18" i="33"/>
  <c r="H10" i="33"/>
  <c r="H14" i="33"/>
  <c r="B129" i="9"/>
  <c r="I129" i="9"/>
  <c r="J129" i="9"/>
  <c r="B132" i="9"/>
  <c r="I132" i="9"/>
  <c r="J132" i="9" s="1"/>
  <c r="B133" i="9"/>
  <c r="I133" i="9"/>
  <c r="J133" i="9" s="1"/>
  <c r="B134" i="9"/>
  <c r="I134" i="9"/>
  <c r="J134" i="9" s="1"/>
  <c r="B135" i="9"/>
  <c r="I135" i="9"/>
  <c r="J135" i="9" s="1"/>
  <c r="B136" i="9"/>
  <c r="I136" i="9"/>
  <c r="J136" i="9" s="1"/>
  <c r="B137" i="9"/>
  <c r="I137" i="9"/>
  <c r="J137" i="9" s="1"/>
  <c r="B138" i="9"/>
  <c r="I138" i="9"/>
  <c r="J138" i="9" s="1"/>
  <c r="B139" i="9"/>
  <c r="I139" i="9"/>
  <c r="J139" i="9" s="1"/>
  <c r="B140" i="9"/>
  <c r="I140" i="9"/>
  <c r="J140" i="9" s="1"/>
  <c r="B141" i="9"/>
  <c r="I141" i="9"/>
  <c r="J141" i="9" s="1"/>
  <c r="B142" i="9"/>
  <c r="I142" i="9"/>
  <c r="J142" i="9" s="1"/>
  <c r="B143" i="9"/>
  <c r="I143" i="9"/>
  <c r="J143" i="9" s="1"/>
  <c r="B144" i="9"/>
  <c r="I144" i="9"/>
  <c r="J144" i="9" s="1"/>
  <c r="B145" i="9"/>
  <c r="I145" i="9"/>
  <c r="J145" i="9" s="1"/>
  <c r="B146" i="9"/>
  <c r="I146" i="9"/>
  <c r="J146" i="9" s="1"/>
  <c r="B147" i="9"/>
  <c r="I147" i="9"/>
  <c r="J147" i="9" s="1"/>
  <c r="B148" i="9"/>
  <c r="I148" i="9"/>
  <c r="J148" i="9" s="1"/>
  <c r="I152" i="9"/>
  <c r="J152" i="9" s="1"/>
  <c r="B49" i="9"/>
  <c r="I49" i="9"/>
  <c r="J49" i="9" s="1"/>
  <c r="B52" i="9"/>
  <c r="I52" i="9"/>
  <c r="J52" i="9" s="1"/>
  <c r="I53" i="9"/>
  <c r="J53" i="9" s="1"/>
  <c r="B54" i="9"/>
  <c r="I54" i="9"/>
  <c r="J54" i="9" s="1"/>
  <c r="B55" i="9"/>
  <c r="I55" i="9"/>
  <c r="J55" i="9" s="1"/>
  <c r="B56" i="9"/>
  <c r="I56" i="9"/>
  <c r="J56" i="9" s="1"/>
  <c r="B57" i="9"/>
  <c r="I57" i="9"/>
  <c r="J57" i="9" s="1"/>
  <c r="B58" i="9"/>
  <c r="I58" i="9"/>
  <c r="J58" i="9" s="1"/>
  <c r="B59" i="9"/>
  <c r="I59" i="9"/>
  <c r="J59" i="9" s="1"/>
  <c r="B60" i="9"/>
  <c r="I60" i="9"/>
  <c r="J60" i="9" s="1"/>
  <c r="B61" i="9"/>
  <c r="I61" i="9"/>
  <c r="J61" i="9" s="1"/>
  <c r="B62" i="9"/>
  <c r="I62" i="9"/>
  <c r="J62" i="9" s="1"/>
  <c r="B63" i="9"/>
  <c r="I63" i="9"/>
  <c r="J63" i="9" s="1"/>
  <c r="B64" i="9"/>
  <c r="I64" i="9"/>
  <c r="J64" i="9" s="1"/>
  <c r="B65" i="9"/>
  <c r="I65" i="9"/>
  <c r="J65" i="9" s="1"/>
  <c r="B66" i="9"/>
  <c r="I66" i="9"/>
  <c r="J66" i="9" s="1"/>
  <c r="B67" i="9"/>
  <c r="I67" i="9"/>
  <c r="J67" i="9" s="1"/>
  <c r="B68" i="9"/>
  <c r="I68" i="9"/>
  <c r="J68" i="9" s="1"/>
  <c r="I72" i="9"/>
  <c r="J72" i="9" s="1"/>
  <c r="F74" i="9" l="1"/>
  <c r="F154" i="9"/>
  <c r="F156" i="9"/>
  <c r="F158" i="9"/>
  <c r="F76" i="9"/>
  <c r="F78" i="9"/>
  <c r="D44" i="33" l="1"/>
  <c r="D54" i="33" l="1"/>
  <c r="D34" i="33" l="1"/>
  <c r="H1" i="35" l="1"/>
  <c r="I87" i="34" l="1"/>
  <c r="J87" i="34" s="1"/>
  <c r="I90" i="34"/>
  <c r="J90" i="34" s="1"/>
  <c r="I91" i="34"/>
  <c r="J91" i="34" s="1"/>
  <c r="I92" i="34"/>
  <c r="J92" i="34" s="1"/>
  <c r="I93" i="34"/>
  <c r="J93" i="34" s="1"/>
  <c r="I94" i="34"/>
  <c r="J94" i="34"/>
  <c r="I95" i="34"/>
  <c r="J95" i="34" s="1"/>
  <c r="I96" i="34"/>
  <c r="J96" i="34" s="1"/>
  <c r="I97" i="34"/>
  <c r="J97" i="34" s="1"/>
  <c r="I98" i="34"/>
  <c r="J98" i="34" s="1"/>
  <c r="I99" i="34"/>
  <c r="J99" i="34" s="1"/>
  <c r="I100" i="34"/>
  <c r="J100" i="34" s="1"/>
  <c r="I101" i="34"/>
  <c r="J101" i="34" s="1"/>
  <c r="I102" i="34"/>
  <c r="J102" i="34" s="1"/>
  <c r="I103" i="34"/>
  <c r="J103" i="34" s="1"/>
  <c r="I104" i="34"/>
  <c r="J104" i="34" s="1"/>
  <c r="I105" i="34"/>
  <c r="J105" i="34" s="1"/>
  <c r="I106" i="34"/>
  <c r="J106" i="34" s="1"/>
  <c r="I107" i="34"/>
  <c r="J107" i="34" s="1"/>
  <c r="I110" i="34"/>
  <c r="J110" i="34" s="1"/>
  <c r="I9" i="34"/>
  <c r="J9" i="34" s="1"/>
  <c r="I12" i="34"/>
  <c r="J12" i="34" s="1"/>
  <c r="I13" i="34"/>
  <c r="J13" i="34" s="1"/>
  <c r="I14" i="34"/>
  <c r="J14" i="34" s="1"/>
  <c r="I15" i="34"/>
  <c r="J15" i="34" s="1"/>
  <c r="I16" i="34"/>
  <c r="J16" i="34" s="1"/>
  <c r="I17" i="34"/>
  <c r="J17" i="34" s="1"/>
  <c r="I18" i="34"/>
  <c r="J18" i="34" s="1"/>
  <c r="I19" i="34"/>
  <c r="J19" i="34" s="1"/>
  <c r="I20" i="34"/>
  <c r="J20" i="34"/>
  <c r="I21" i="34"/>
  <c r="J21" i="34" s="1"/>
  <c r="I22" i="34"/>
  <c r="J22" i="34" s="1"/>
  <c r="I23" i="34"/>
  <c r="J23" i="34" s="1"/>
  <c r="I24" i="34"/>
  <c r="J24" i="34" s="1"/>
  <c r="I25" i="34"/>
  <c r="J25" i="34" s="1"/>
  <c r="I26" i="34"/>
  <c r="J26" i="34" s="1"/>
  <c r="I27" i="34"/>
  <c r="J27" i="34" s="1"/>
  <c r="I28" i="34"/>
  <c r="J28" i="34" s="1"/>
  <c r="I29" i="34"/>
  <c r="J29" i="34" s="1"/>
  <c r="J45" i="33" l="1"/>
  <c r="J55" i="33"/>
  <c r="J35" i="33"/>
  <c r="F45" i="33"/>
  <c r="F55" i="33"/>
  <c r="F35" i="33"/>
  <c r="B45" i="33"/>
  <c r="B55" i="33"/>
  <c r="B35" i="33"/>
  <c r="B252" i="9" l="1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72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32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I229" i="35" l="1"/>
  <c r="J229" i="35" s="1"/>
  <c r="I190" i="35"/>
  <c r="J190" i="35" s="1"/>
  <c r="I151" i="35"/>
  <c r="J151" i="35" s="1"/>
  <c r="I112" i="35"/>
  <c r="J112" i="35" s="1"/>
  <c r="B112" i="35"/>
  <c r="I72" i="35"/>
  <c r="J72" i="35" s="1"/>
  <c r="B72" i="35"/>
  <c r="I32" i="35"/>
  <c r="J32" i="35" s="1"/>
  <c r="B32" i="35"/>
  <c r="I227" i="34"/>
  <c r="J227" i="34" s="1"/>
  <c r="B227" i="34"/>
  <c r="I71" i="34"/>
  <c r="J71" i="34" s="1"/>
  <c r="B110" i="34"/>
  <c r="I9" i="35" l="1"/>
  <c r="J9" i="35" s="1"/>
  <c r="I13" i="35"/>
  <c r="J13" i="35" s="1"/>
  <c r="I14" i="35"/>
  <c r="J14" i="35" s="1"/>
  <c r="I15" i="35"/>
  <c r="J15" i="35" s="1"/>
  <c r="I16" i="35"/>
  <c r="J16" i="35" s="1"/>
  <c r="I17" i="35"/>
  <c r="J17" i="35" s="1"/>
  <c r="I18" i="35"/>
  <c r="J18" i="35" s="1"/>
  <c r="I19" i="35"/>
  <c r="J19" i="35" s="1"/>
  <c r="I20" i="35"/>
  <c r="J20" i="35" s="1"/>
  <c r="I21" i="35"/>
  <c r="J21" i="35" s="1"/>
  <c r="I22" i="35"/>
  <c r="J22" i="35" s="1"/>
  <c r="I23" i="35"/>
  <c r="J23" i="35" s="1"/>
  <c r="I24" i="35"/>
  <c r="J24" i="35" s="1"/>
  <c r="I25" i="35"/>
  <c r="J25" i="35" s="1"/>
  <c r="I26" i="35"/>
  <c r="J26" i="35" s="1"/>
  <c r="I27" i="35"/>
  <c r="J27" i="35" s="1"/>
  <c r="I28" i="35"/>
  <c r="J28" i="35" s="1"/>
  <c r="I29" i="35"/>
  <c r="J29" i="35" s="1"/>
  <c r="I206" i="35"/>
  <c r="J206" i="35" s="1"/>
  <c r="I210" i="35"/>
  <c r="J210" i="35" s="1"/>
  <c r="I211" i="35"/>
  <c r="J211" i="35" s="1"/>
  <c r="I212" i="35"/>
  <c r="J212" i="35" s="1"/>
  <c r="I213" i="35"/>
  <c r="J213" i="35" s="1"/>
  <c r="I214" i="35"/>
  <c r="J214" i="35" s="1"/>
  <c r="I215" i="35"/>
  <c r="J215" i="35" s="1"/>
  <c r="I216" i="35"/>
  <c r="J216" i="35" s="1"/>
  <c r="I217" i="35"/>
  <c r="J217" i="35" s="1"/>
  <c r="I218" i="35"/>
  <c r="J218" i="35" s="1"/>
  <c r="I219" i="35"/>
  <c r="J219" i="35" s="1"/>
  <c r="I220" i="35"/>
  <c r="J220" i="35" s="1"/>
  <c r="I221" i="35"/>
  <c r="J221" i="35" s="1"/>
  <c r="I222" i="35"/>
  <c r="J222" i="35" s="1"/>
  <c r="I223" i="35"/>
  <c r="J223" i="35" s="1"/>
  <c r="I224" i="35"/>
  <c r="J224" i="35" s="1"/>
  <c r="I225" i="35"/>
  <c r="J225" i="35" s="1"/>
  <c r="I226" i="35"/>
  <c r="J226" i="35" s="1"/>
  <c r="B46" i="33" l="1"/>
  <c r="B56" i="33"/>
  <c r="B36" i="33"/>
  <c r="L46" i="33"/>
  <c r="L56" i="33"/>
  <c r="L36" i="33"/>
  <c r="F230" i="35"/>
  <c r="F234" i="35"/>
  <c r="L26" i="33"/>
  <c r="F232" i="35"/>
  <c r="F35" i="34"/>
  <c r="F33" i="35"/>
  <c r="F37" i="35"/>
  <c r="F35" i="35"/>
  <c r="F33" i="34"/>
  <c r="F37" i="34"/>
  <c r="B25" i="33"/>
  <c r="B26" i="33"/>
  <c r="I187" i="35" l="1"/>
  <c r="J187" i="35" s="1"/>
  <c r="I186" i="35"/>
  <c r="J186" i="35" s="1"/>
  <c r="I185" i="35"/>
  <c r="J185" i="35" s="1"/>
  <c r="I184" i="35"/>
  <c r="J184" i="35" s="1"/>
  <c r="I183" i="35"/>
  <c r="J183" i="35" s="1"/>
  <c r="I182" i="35"/>
  <c r="J182" i="35" s="1"/>
  <c r="I181" i="35"/>
  <c r="J181" i="35" s="1"/>
  <c r="I180" i="35"/>
  <c r="J180" i="35" s="1"/>
  <c r="I179" i="35"/>
  <c r="J179" i="35" s="1"/>
  <c r="I178" i="35"/>
  <c r="J178" i="35" s="1"/>
  <c r="I177" i="35"/>
  <c r="J177" i="35" s="1"/>
  <c r="I176" i="35"/>
  <c r="J176" i="35" s="1"/>
  <c r="I175" i="35"/>
  <c r="J175" i="35" s="1"/>
  <c r="I174" i="35"/>
  <c r="J174" i="35" s="1"/>
  <c r="I173" i="35"/>
  <c r="J173" i="35" s="1"/>
  <c r="I172" i="35"/>
  <c r="J172" i="35" s="1"/>
  <c r="I167" i="35"/>
  <c r="J167" i="35" s="1"/>
  <c r="I148" i="35"/>
  <c r="J148" i="35" s="1"/>
  <c r="I147" i="35"/>
  <c r="J147" i="35" s="1"/>
  <c r="I146" i="35"/>
  <c r="J146" i="35" s="1"/>
  <c r="I145" i="35"/>
  <c r="J145" i="35" s="1"/>
  <c r="I144" i="35"/>
  <c r="J144" i="35" s="1"/>
  <c r="I143" i="35"/>
  <c r="J143" i="35" s="1"/>
  <c r="I142" i="35"/>
  <c r="J142" i="35" s="1"/>
  <c r="I141" i="35"/>
  <c r="J141" i="35" s="1"/>
  <c r="I140" i="35"/>
  <c r="J140" i="35" s="1"/>
  <c r="I139" i="35"/>
  <c r="J139" i="35" s="1"/>
  <c r="I138" i="35"/>
  <c r="J138" i="35" s="1"/>
  <c r="I137" i="35"/>
  <c r="J137" i="35" s="1"/>
  <c r="I136" i="35"/>
  <c r="J136" i="35" s="1"/>
  <c r="I135" i="35"/>
  <c r="J135" i="35" s="1"/>
  <c r="I134" i="35"/>
  <c r="J134" i="35" s="1"/>
  <c r="I133" i="35"/>
  <c r="J133" i="35" s="1"/>
  <c r="I132" i="35"/>
  <c r="J132" i="35" s="1"/>
  <c r="I128" i="35"/>
  <c r="J128" i="35" s="1"/>
  <c r="I109" i="35"/>
  <c r="J109" i="35" s="1"/>
  <c r="I108" i="35"/>
  <c r="J108" i="35" s="1"/>
  <c r="I107" i="35"/>
  <c r="J107" i="35" s="1"/>
  <c r="I106" i="35"/>
  <c r="J106" i="35" s="1"/>
  <c r="I105" i="35"/>
  <c r="J105" i="35" s="1"/>
  <c r="I104" i="35"/>
  <c r="J104" i="35" s="1"/>
  <c r="I103" i="35"/>
  <c r="J103" i="35" s="1"/>
  <c r="I102" i="35"/>
  <c r="J102" i="35" s="1"/>
  <c r="I101" i="35"/>
  <c r="J101" i="35" s="1"/>
  <c r="I100" i="35"/>
  <c r="J100" i="35" s="1"/>
  <c r="I99" i="35"/>
  <c r="J99" i="35" s="1"/>
  <c r="I98" i="35"/>
  <c r="J98" i="35" s="1"/>
  <c r="I97" i="35"/>
  <c r="J97" i="35" s="1"/>
  <c r="I96" i="35"/>
  <c r="J96" i="35" s="1"/>
  <c r="I95" i="35"/>
  <c r="J95" i="35" s="1"/>
  <c r="I94" i="35"/>
  <c r="J94" i="35" s="1"/>
  <c r="I93" i="35"/>
  <c r="J93" i="35" s="1"/>
  <c r="I89" i="35"/>
  <c r="J89" i="35" s="1"/>
  <c r="I69" i="35"/>
  <c r="J69" i="35" s="1"/>
  <c r="I68" i="35"/>
  <c r="J68" i="35" s="1"/>
  <c r="I67" i="35"/>
  <c r="J67" i="35" s="1"/>
  <c r="I66" i="35"/>
  <c r="J66" i="35" s="1"/>
  <c r="I65" i="35"/>
  <c r="J65" i="35" s="1"/>
  <c r="I64" i="35"/>
  <c r="J64" i="35" s="1"/>
  <c r="I63" i="35"/>
  <c r="J63" i="35" s="1"/>
  <c r="I62" i="35"/>
  <c r="J62" i="35" s="1"/>
  <c r="I61" i="35"/>
  <c r="J61" i="35" s="1"/>
  <c r="I60" i="35"/>
  <c r="J60" i="35" s="1"/>
  <c r="I59" i="35"/>
  <c r="J59" i="35" s="1"/>
  <c r="I58" i="35"/>
  <c r="J58" i="35" s="1"/>
  <c r="I57" i="35"/>
  <c r="J57" i="35" s="1"/>
  <c r="I56" i="35"/>
  <c r="J56" i="35" s="1"/>
  <c r="I55" i="35"/>
  <c r="J55" i="35" s="1"/>
  <c r="I54" i="35"/>
  <c r="J54" i="35" s="1"/>
  <c r="I53" i="35"/>
  <c r="J53" i="35" s="1"/>
  <c r="I49" i="35"/>
  <c r="J49" i="35" s="1"/>
  <c r="J46" i="33" l="1"/>
  <c r="J56" i="33"/>
  <c r="J36" i="33"/>
  <c r="H46" i="33"/>
  <c r="H56" i="33"/>
  <c r="H36" i="33"/>
  <c r="F46" i="33"/>
  <c r="F56" i="33"/>
  <c r="F36" i="33"/>
  <c r="D46" i="33"/>
  <c r="D56" i="33"/>
  <c r="D36" i="33"/>
  <c r="F73" i="35"/>
  <c r="F77" i="35"/>
  <c r="D26" i="33"/>
  <c r="F2" i="33"/>
  <c r="F117" i="35"/>
  <c r="F113" i="35"/>
  <c r="F26" i="33"/>
  <c r="F191" i="35"/>
  <c r="F195" i="35"/>
  <c r="J26" i="33"/>
  <c r="F115" i="35"/>
  <c r="F193" i="35"/>
  <c r="F156" i="35"/>
  <c r="F152" i="35"/>
  <c r="H26" i="33"/>
  <c r="F75" i="35"/>
  <c r="F154" i="35"/>
  <c r="I224" i="34"/>
  <c r="J224" i="34" s="1"/>
  <c r="B224" i="34"/>
  <c r="I223" i="34"/>
  <c r="J223" i="34" s="1"/>
  <c r="B223" i="34"/>
  <c r="I222" i="34"/>
  <c r="J222" i="34" s="1"/>
  <c r="B222" i="34"/>
  <c r="I221" i="34"/>
  <c r="J221" i="34" s="1"/>
  <c r="B221" i="34"/>
  <c r="I220" i="34"/>
  <c r="J220" i="34" s="1"/>
  <c r="B220" i="34"/>
  <c r="I219" i="34"/>
  <c r="J219" i="34" s="1"/>
  <c r="B219" i="34"/>
  <c r="I218" i="34"/>
  <c r="J218" i="34" s="1"/>
  <c r="B218" i="34"/>
  <c r="I217" i="34"/>
  <c r="J217" i="34" s="1"/>
  <c r="B217" i="34"/>
  <c r="I216" i="34"/>
  <c r="J216" i="34" s="1"/>
  <c r="B216" i="34"/>
  <c r="I215" i="34"/>
  <c r="J215" i="34" s="1"/>
  <c r="B215" i="34"/>
  <c r="I214" i="34"/>
  <c r="J214" i="34" s="1"/>
  <c r="B214" i="34"/>
  <c r="I213" i="34"/>
  <c r="J213" i="34" s="1"/>
  <c r="B213" i="34"/>
  <c r="I212" i="34"/>
  <c r="J212" i="34" s="1"/>
  <c r="B212" i="34"/>
  <c r="I211" i="34"/>
  <c r="J211" i="34" s="1"/>
  <c r="B211" i="34"/>
  <c r="I210" i="34"/>
  <c r="J210" i="34" s="1"/>
  <c r="B210" i="34"/>
  <c r="I209" i="34"/>
  <c r="J209" i="34" s="1"/>
  <c r="B209" i="34"/>
  <c r="I208" i="34"/>
  <c r="J208" i="34" s="1"/>
  <c r="B208" i="34"/>
  <c r="I207" i="34"/>
  <c r="J207" i="34" s="1"/>
  <c r="B207" i="34"/>
  <c r="I204" i="34"/>
  <c r="J204" i="34" s="1"/>
  <c r="B204" i="34"/>
  <c r="B107" i="34"/>
  <c r="B106" i="34"/>
  <c r="B105" i="34"/>
  <c r="B104" i="34"/>
  <c r="B103" i="34"/>
  <c r="B102" i="34"/>
  <c r="B101" i="34"/>
  <c r="B100" i="34"/>
  <c r="B99" i="34"/>
  <c r="B98" i="34"/>
  <c r="B97" i="34"/>
  <c r="B96" i="34"/>
  <c r="B95" i="34"/>
  <c r="B94" i="34"/>
  <c r="B93" i="34"/>
  <c r="B92" i="34"/>
  <c r="B91" i="34"/>
  <c r="B90" i="34"/>
  <c r="B87" i="34"/>
  <c r="I68" i="34"/>
  <c r="J68" i="34" s="1"/>
  <c r="B68" i="34"/>
  <c r="I67" i="34"/>
  <c r="J67" i="34" s="1"/>
  <c r="B67" i="34"/>
  <c r="I66" i="34"/>
  <c r="J66" i="34" s="1"/>
  <c r="B66" i="34"/>
  <c r="I65" i="34"/>
  <c r="J65" i="34" s="1"/>
  <c r="B65" i="34"/>
  <c r="I64" i="34"/>
  <c r="J64" i="34" s="1"/>
  <c r="B64" i="34"/>
  <c r="I63" i="34"/>
  <c r="J63" i="34" s="1"/>
  <c r="B63" i="34"/>
  <c r="I62" i="34"/>
  <c r="J62" i="34" s="1"/>
  <c r="B62" i="34"/>
  <c r="I61" i="34"/>
  <c r="J61" i="34" s="1"/>
  <c r="B61" i="34"/>
  <c r="I60" i="34"/>
  <c r="J60" i="34" s="1"/>
  <c r="B60" i="34"/>
  <c r="I59" i="34"/>
  <c r="J59" i="34" s="1"/>
  <c r="B59" i="34"/>
  <c r="I58" i="34"/>
  <c r="J58" i="34" s="1"/>
  <c r="B58" i="34"/>
  <c r="I57" i="34"/>
  <c r="J57" i="34" s="1"/>
  <c r="B57" i="34"/>
  <c r="I56" i="34"/>
  <c r="J56" i="34" s="1"/>
  <c r="B56" i="34"/>
  <c r="I55" i="34"/>
  <c r="J55" i="34" s="1"/>
  <c r="B55" i="34"/>
  <c r="I54" i="34"/>
  <c r="J54" i="34" s="1"/>
  <c r="B54" i="34"/>
  <c r="I53" i="34"/>
  <c r="J53" i="34" s="1"/>
  <c r="B53" i="34"/>
  <c r="I52" i="34"/>
  <c r="J52" i="34" s="1"/>
  <c r="B52" i="34"/>
  <c r="I51" i="34"/>
  <c r="J51" i="34" s="1"/>
  <c r="B51" i="34"/>
  <c r="I48" i="34"/>
  <c r="J48" i="34" s="1"/>
  <c r="B48" i="34"/>
  <c r="I272" i="9"/>
  <c r="J272" i="9" s="1"/>
  <c r="I268" i="9"/>
  <c r="J268" i="9" s="1"/>
  <c r="I267" i="9"/>
  <c r="J267" i="9" s="1"/>
  <c r="I266" i="9"/>
  <c r="J266" i="9" s="1"/>
  <c r="I265" i="9"/>
  <c r="J265" i="9" s="1"/>
  <c r="I264" i="9"/>
  <c r="J264" i="9" s="1"/>
  <c r="I263" i="9"/>
  <c r="J263" i="9" s="1"/>
  <c r="I262" i="9"/>
  <c r="J262" i="9" s="1"/>
  <c r="I261" i="9"/>
  <c r="J261" i="9" s="1"/>
  <c r="I260" i="9"/>
  <c r="J260" i="9" s="1"/>
  <c r="I259" i="9"/>
  <c r="J259" i="9" s="1"/>
  <c r="I258" i="9"/>
  <c r="J258" i="9" s="1"/>
  <c r="I257" i="9"/>
  <c r="J257" i="9" s="1"/>
  <c r="I256" i="9"/>
  <c r="J256" i="9" s="1"/>
  <c r="I255" i="9"/>
  <c r="J255" i="9" s="1"/>
  <c r="I254" i="9"/>
  <c r="J254" i="9" s="1"/>
  <c r="I253" i="9"/>
  <c r="J253" i="9" s="1"/>
  <c r="I252" i="9"/>
  <c r="J252" i="9" s="1"/>
  <c r="I249" i="9"/>
  <c r="J249" i="9" s="1"/>
  <c r="I232" i="9"/>
  <c r="J232" i="9" s="1"/>
  <c r="I228" i="9"/>
  <c r="J228" i="9" s="1"/>
  <c r="I227" i="9"/>
  <c r="J227" i="9" s="1"/>
  <c r="I226" i="9"/>
  <c r="J226" i="9" s="1"/>
  <c r="I225" i="9"/>
  <c r="J225" i="9" s="1"/>
  <c r="I224" i="9"/>
  <c r="J224" i="9" s="1"/>
  <c r="I223" i="9"/>
  <c r="J223" i="9" s="1"/>
  <c r="I222" i="9"/>
  <c r="J222" i="9" s="1"/>
  <c r="I221" i="9"/>
  <c r="J221" i="9" s="1"/>
  <c r="I220" i="9"/>
  <c r="J220" i="9" s="1"/>
  <c r="I219" i="9"/>
  <c r="J219" i="9" s="1"/>
  <c r="I218" i="9"/>
  <c r="J218" i="9" s="1"/>
  <c r="I217" i="9"/>
  <c r="J217" i="9" s="1"/>
  <c r="I216" i="9"/>
  <c r="J216" i="9" s="1"/>
  <c r="I215" i="9"/>
  <c r="J215" i="9" s="1"/>
  <c r="I214" i="9"/>
  <c r="J214" i="9" s="1"/>
  <c r="I213" i="9"/>
  <c r="J213" i="9" s="1"/>
  <c r="I212" i="9"/>
  <c r="J212" i="9" s="1"/>
  <c r="I209" i="9"/>
  <c r="J209" i="9" s="1"/>
  <c r="I112" i="9"/>
  <c r="J112" i="9" s="1"/>
  <c r="I108" i="9"/>
  <c r="J108" i="9" s="1"/>
  <c r="I107" i="9"/>
  <c r="J107" i="9" s="1"/>
  <c r="I106" i="9"/>
  <c r="J106" i="9" s="1"/>
  <c r="I105" i="9"/>
  <c r="J105" i="9" s="1"/>
  <c r="I104" i="9"/>
  <c r="J104" i="9" s="1"/>
  <c r="I103" i="9"/>
  <c r="J103" i="9" s="1"/>
  <c r="I102" i="9"/>
  <c r="J102" i="9" s="1"/>
  <c r="I101" i="9"/>
  <c r="J101" i="9" s="1"/>
  <c r="I100" i="9"/>
  <c r="J100" i="9" s="1"/>
  <c r="I99" i="9"/>
  <c r="J99" i="9" s="1"/>
  <c r="I98" i="9"/>
  <c r="J98" i="9" s="1"/>
  <c r="I97" i="9"/>
  <c r="J97" i="9" s="1"/>
  <c r="I96" i="9"/>
  <c r="J96" i="9" s="1"/>
  <c r="I95" i="9"/>
  <c r="J95" i="9" s="1"/>
  <c r="I94" i="9"/>
  <c r="J94" i="9" s="1"/>
  <c r="I93" i="9"/>
  <c r="J93" i="9" s="1"/>
  <c r="I92" i="9"/>
  <c r="J92" i="9" s="1"/>
  <c r="I89" i="9"/>
  <c r="J89" i="9" s="1"/>
  <c r="F74" i="34" l="1"/>
  <c r="F72" i="34"/>
  <c r="F76" i="34"/>
  <c r="F14" i="33"/>
  <c r="H45" i="33"/>
  <c r="H55" i="33"/>
  <c r="H35" i="33"/>
  <c r="L45" i="33"/>
  <c r="L55" i="33"/>
  <c r="L35" i="33"/>
  <c r="N45" i="33"/>
  <c r="N55" i="33"/>
  <c r="N35" i="33"/>
  <c r="D45" i="33"/>
  <c r="D55" i="33"/>
  <c r="D35" i="33"/>
  <c r="F44" i="33"/>
  <c r="F54" i="33"/>
  <c r="F34" i="33"/>
  <c r="N44" i="33"/>
  <c r="N54" i="33"/>
  <c r="N34" i="33"/>
  <c r="L44" i="33"/>
  <c r="L54" i="33"/>
  <c r="L34" i="33"/>
  <c r="H44" i="33"/>
  <c r="H54" i="33"/>
  <c r="H34" i="33"/>
  <c r="J44" i="33"/>
  <c r="J54" i="33"/>
  <c r="J34" i="33"/>
  <c r="F18" i="33"/>
  <c r="F10" i="33"/>
  <c r="F236" i="9"/>
  <c r="F193" i="34"/>
  <c r="J25" i="33"/>
  <c r="F228" i="34"/>
  <c r="F232" i="34"/>
  <c r="L25" i="33"/>
  <c r="N25" i="33"/>
  <c r="F113" i="34"/>
  <c r="F114" i="9"/>
  <c r="F118" i="9"/>
  <c r="F274" i="9"/>
  <c r="F278" i="9"/>
  <c r="N24" i="33"/>
  <c r="D25" i="33"/>
  <c r="D2" i="33"/>
  <c r="F115" i="34"/>
  <c r="F111" i="34"/>
  <c r="F25" i="33"/>
  <c r="F198" i="9"/>
  <c r="F194" i="9"/>
  <c r="J24" i="33"/>
  <c r="F191" i="34"/>
  <c r="F196" i="9"/>
  <c r="F116" i="9"/>
  <c r="F238" i="9"/>
  <c r="F234" i="9"/>
  <c r="L24" i="33"/>
  <c r="F276" i="9"/>
  <c r="H25" i="33"/>
  <c r="F230" i="34"/>
  <c r="F6" i="33"/>
  <c r="F24" i="33"/>
  <c r="H24" i="33"/>
  <c r="D24" i="33"/>
  <c r="I19" i="9"/>
  <c r="D14" i="33" l="1"/>
  <c r="D10" i="33"/>
  <c r="D6" i="33"/>
  <c r="D18" i="33"/>
  <c r="I32" i="9" l="1"/>
  <c r="J32" i="9" s="1"/>
  <c r="I28" i="9"/>
  <c r="J28" i="9" s="1"/>
  <c r="I27" i="9"/>
  <c r="J27" i="9" s="1"/>
  <c r="I26" i="9"/>
  <c r="J26" i="9" s="1"/>
  <c r="I25" i="9"/>
  <c r="J25" i="9" s="1"/>
  <c r="I24" i="9"/>
  <c r="J24" i="9" s="1"/>
  <c r="I23" i="9"/>
  <c r="J23" i="9" s="1"/>
  <c r="I22" i="9"/>
  <c r="J22" i="9" s="1"/>
  <c r="I21" i="9"/>
  <c r="J21" i="9" s="1"/>
  <c r="I20" i="9"/>
  <c r="J20" i="9" s="1"/>
  <c r="I13" i="9"/>
  <c r="J13" i="9" s="1"/>
  <c r="I14" i="9"/>
  <c r="J14" i="9" s="1"/>
  <c r="I15" i="9"/>
  <c r="J15" i="9" s="1"/>
  <c r="I16" i="9"/>
  <c r="J16" i="9" s="1"/>
  <c r="I17" i="9"/>
  <c r="J17" i="9" s="1"/>
  <c r="I18" i="9"/>
  <c r="J18" i="9" s="1"/>
  <c r="J19" i="9"/>
  <c r="I12" i="9"/>
  <c r="J12" i="9" s="1"/>
  <c r="B2" i="33" l="1"/>
  <c r="P2" i="33"/>
  <c r="B44" i="33"/>
  <c r="B54" i="33"/>
  <c r="B34" i="33"/>
  <c r="B24" i="33"/>
  <c r="F36" i="9"/>
  <c r="F38" i="9"/>
  <c r="F34" i="9"/>
  <c r="B6" i="33" l="1"/>
  <c r="P6" i="33"/>
  <c r="B18" i="33"/>
  <c r="P18" i="33"/>
  <c r="B14" i="33"/>
  <c r="P14" i="33"/>
  <c r="B10" i="33"/>
  <c r="P10" i="33"/>
  <c r="B167" i="35"/>
  <c r="B172" i="35"/>
  <c r="B173" i="35"/>
  <c r="B174" i="35"/>
  <c r="B175" i="35"/>
  <c r="B176" i="35"/>
  <c r="B177" i="35"/>
  <c r="B178" i="35"/>
  <c r="B179" i="35"/>
  <c r="B180" i="35"/>
  <c r="B181" i="35"/>
  <c r="B182" i="35"/>
  <c r="B183" i="35"/>
  <c r="B184" i="35"/>
  <c r="B185" i="35"/>
  <c r="B186" i="35"/>
  <c r="B187" i="35"/>
  <c r="B128" i="35"/>
  <c r="B132" i="35"/>
  <c r="B133" i="35"/>
  <c r="B134" i="35"/>
  <c r="B135" i="35"/>
  <c r="B136" i="35"/>
  <c r="B137" i="35"/>
  <c r="B138" i="35"/>
  <c r="B139" i="35"/>
  <c r="B140" i="35"/>
  <c r="B141" i="35"/>
  <c r="B142" i="35"/>
  <c r="B143" i="35"/>
  <c r="B144" i="35"/>
  <c r="B145" i="35"/>
  <c r="B146" i="35"/>
  <c r="B147" i="35"/>
  <c r="B148" i="35"/>
  <c r="B89" i="35"/>
  <c r="B93" i="35"/>
  <c r="B94" i="35"/>
  <c r="B95" i="35"/>
  <c r="B96" i="35"/>
  <c r="B97" i="35"/>
  <c r="B98" i="35"/>
  <c r="B99" i="35"/>
  <c r="B100" i="35"/>
  <c r="B101" i="35"/>
  <c r="B102" i="35"/>
  <c r="B103" i="35"/>
  <c r="B104" i="35"/>
  <c r="B105" i="35"/>
  <c r="B106" i="35"/>
  <c r="B107" i="35"/>
  <c r="B108" i="35"/>
  <c r="B109" i="35"/>
  <c r="B49" i="35"/>
  <c r="B53" i="35"/>
  <c r="B54" i="35"/>
  <c r="B55" i="35"/>
  <c r="B56" i="35"/>
  <c r="B57" i="35"/>
  <c r="B58" i="35"/>
  <c r="B59" i="35"/>
  <c r="B60" i="35"/>
  <c r="B61" i="35"/>
  <c r="B62" i="35"/>
  <c r="B63" i="35"/>
  <c r="B64" i="35"/>
  <c r="B65" i="35"/>
  <c r="B66" i="35"/>
  <c r="B67" i="35"/>
  <c r="B68" i="35"/>
  <c r="B69" i="35"/>
  <c r="B206" i="35"/>
  <c r="B210" i="35"/>
  <c r="B211" i="35"/>
  <c r="B212" i="35"/>
  <c r="B213" i="35"/>
  <c r="B214" i="35"/>
  <c r="B215" i="35"/>
  <c r="B216" i="35"/>
  <c r="B217" i="35"/>
  <c r="B218" i="35"/>
  <c r="B219" i="35"/>
  <c r="B220" i="35"/>
  <c r="B221" i="35"/>
  <c r="B222" i="35"/>
  <c r="B223" i="35"/>
  <c r="B224" i="35"/>
  <c r="B225" i="35"/>
  <c r="B226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28" i="34"/>
  <c r="B29" i="34"/>
  <c r="B249" i="9"/>
  <c r="B209" i="9"/>
  <c r="B89" i="9"/>
  <c r="B13" i="35" l="1"/>
  <c r="B9" i="35"/>
  <c r="B9" i="34" l="1"/>
  <c r="B13" i="34"/>
  <c r="B14" i="34"/>
  <c r="B15" i="34"/>
  <c r="B16" i="34"/>
  <c r="B17" i="34"/>
  <c r="B18" i="34"/>
  <c r="B19" i="34"/>
  <c r="B20" i="34"/>
  <c r="B21" i="34"/>
  <c r="B22" i="34"/>
  <c r="B23" i="34"/>
  <c r="B24" i="34"/>
  <c r="B26" i="34"/>
  <c r="B27" i="34"/>
  <c r="B53" i="9"/>
  <c r="B25" i="34"/>
  <c r="B24" i="42"/>
  <c r="B9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50" i="9"/>
  <c r="B71" i="9"/>
  <c r="B32" i="9"/>
  <c r="B31" i="34"/>
</calcChain>
</file>

<file path=xl/sharedStrings.xml><?xml version="1.0" encoding="utf-8"?>
<sst xmlns="http://schemas.openxmlformats.org/spreadsheetml/2006/main" count="1968" uniqueCount="88">
  <si>
    <t>TARGET WEIGHT</t>
  </si>
  <si>
    <t>10-11 PM</t>
  </si>
  <si>
    <t>11-12 PM</t>
  </si>
  <si>
    <t>CHECK MADE BETWEEN</t>
  </si>
  <si>
    <t>ACTUAL WEIGHT #1</t>
  </si>
  <si>
    <t>ACTUAL WEIGHT #2</t>
  </si>
  <si>
    <t>ACTUAL WEIGHT #3</t>
  </si>
  <si>
    <t>AVERAGE ACTUAL WEIGHT</t>
  </si>
  <si>
    <t>Plant 3 Bag Weight Verification Sheet</t>
  </si>
  <si>
    <t>11-12 AM</t>
  </si>
  <si>
    <t>12-1 AM</t>
  </si>
  <si>
    <t>1-2 AM</t>
  </si>
  <si>
    <t>2-3 AM</t>
  </si>
  <si>
    <t>3-4 AM</t>
  </si>
  <si>
    <t>4-5 AM</t>
  </si>
  <si>
    <t>5-6 AM</t>
  </si>
  <si>
    <t>6-7 AM</t>
  </si>
  <si>
    <t>DATE:</t>
  </si>
  <si>
    <t>AVERAGE GIVEAWAY PER HOUR</t>
  </si>
  <si>
    <t>8-9 AM</t>
  </si>
  <si>
    <t>9-10 AM</t>
  </si>
  <si>
    <t>10-11 AM</t>
  </si>
  <si>
    <t>12-1 PM</t>
  </si>
  <si>
    <t>1-2 PM</t>
  </si>
  <si>
    <t>2-3 PM</t>
  </si>
  <si>
    <t>3-4 PM</t>
  </si>
  <si>
    <t>UPC</t>
  </si>
  <si>
    <t>NIGHTSHIFT AVERAGE GIVEAWAY:</t>
  </si>
  <si>
    <t>DAYSHIFT AVERAGE GIVEAWAY:</t>
  </si>
  <si>
    <t>TOTAL AVERAGE GIVEAWAY:</t>
  </si>
  <si>
    <t>DAY 1</t>
  </si>
  <si>
    <t>DAY 2</t>
  </si>
  <si>
    <t>DAY 3</t>
  </si>
  <si>
    <t>DAY 4</t>
  </si>
  <si>
    <t>DAY 6</t>
  </si>
  <si>
    <t>DAY 5</t>
  </si>
  <si>
    <t>LINE 6 MACHINE 1</t>
  </si>
  <si>
    <t>DAY 7</t>
  </si>
  <si>
    <t>9-10 PM</t>
  </si>
  <si>
    <t>7-8 AM</t>
  </si>
  <si>
    <t>LINE 6 MACHINE 2</t>
  </si>
  <si>
    <t>ACTUAL TIME</t>
  </si>
  <si>
    <t>LINE 10 MACHINE 3</t>
  </si>
  <si>
    <t>LINE 10 MACHINE 4</t>
  </si>
  <si>
    <t>LINE 10 MACHINE 5</t>
  </si>
  <si>
    <t>LINE 10 MACHINE 6</t>
  </si>
  <si>
    <t>LINE 10 MACHINE 7</t>
  </si>
  <si>
    <t>BULK?</t>
  </si>
  <si>
    <t>Measures</t>
  </si>
  <si>
    <t>6-1</t>
  </si>
  <si>
    <t>6-2</t>
  </si>
  <si>
    <t>10-3</t>
  </si>
  <si>
    <t>10-4</t>
  </si>
  <si>
    <t>10-5</t>
  </si>
  <si>
    <t>10-6</t>
  </si>
  <si>
    <t>10-7</t>
  </si>
  <si>
    <t>Average Giveaway for week</t>
  </si>
  <si>
    <t>grams</t>
  </si>
  <si>
    <t>Average Giveaway for Single Serve Bags
(14.1-56.6 grams)</t>
  </si>
  <si>
    <t>Bulk Giveaway
(453.6-2268.0 grams)</t>
  </si>
  <si>
    <t>Machine 6-1</t>
  </si>
  <si>
    <t>Day 1</t>
  </si>
  <si>
    <t>Day 2</t>
  </si>
  <si>
    <t>Day 3</t>
  </si>
  <si>
    <t>Day 4</t>
  </si>
  <si>
    <t>Day 5</t>
  </si>
  <si>
    <t>Day 6</t>
  </si>
  <si>
    <t>Day 7</t>
  </si>
  <si>
    <t>Machine 10-3</t>
  </si>
  <si>
    <t>Machine 10-4</t>
  </si>
  <si>
    <t>Machine 10-5</t>
  </si>
  <si>
    <t>Machine 10-6</t>
  </si>
  <si>
    <t>Machine 10-7</t>
  </si>
  <si>
    <t>Single Serve Daily Giveaway</t>
  </si>
  <si>
    <t>Multi Serve Daily Giveaway</t>
  </si>
  <si>
    <t>Bulk Daily Giveaway</t>
  </si>
  <si>
    <t>Machine 6-2 (10-2)</t>
  </si>
  <si>
    <t>4-5 PM</t>
  </si>
  <si>
    <t>Weekly Total</t>
  </si>
  <si>
    <t xml:space="preserve"> </t>
  </si>
  <si>
    <t>Average Giveaway for Multi Serve Bags 
(60.2-623.7 grams)</t>
  </si>
  <si>
    <t>Average Giveaway for All Form Filled Bags (14.1-623.7 grams)</t>
  </si>
  <si>
    <t>All Form Filled Daily Giveaway</t>
  </si>
  <si>
    <t>COMMENT/ CORRECTIVE ACTION</t>
  </si>
  <si>
    <t>8-9 PM</t>
  </si>
  <si>
    <t>7-8 PM</t>
  </si>
  <si>
    <t>5-6 PM</t>
  </si>
  <si>
    <t>6-7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</si>
</sst>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mm/dd/yy;@"/>
    <numFmt numFmtId="166" formatCode="[$-F400]h:mm:ss\ AM/PM"/>
    <numFmt numFmtId="167" formatCode="0.000"/>
    <numFmt numFmtId="168" formatCode="0.0000"/>
    <numFmt numFmtId="169" formatCode=";;;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24"/>
      <name val="Cambria"/>
      <family val="1"/>
      <scheme val="major"/>
    </font>
    <font>
      <b/>
      <sz val="18"/>
      <name val="Cambria"/>
      <family val="1"/>
      <scheme val="major"/>
    </font>
    <font>
      <sz val="10"/>
      <name val="Cambria"/>
      <family val="1"/>
      <scheme val="major"/>
    </font>
    <font>
      <b/>
      <sz val="11"/>
      <name val="Cambria"/>
      <family val="1"/>
      <scheme val="major"/>
    </font>
    <font>
      <b/>
      <sz val="11"/>
      <color rgb="FF3F3F3F"/>
      <name val="Calibri"/>
      <family val="2"/>
      <scheme val="minor"/>
    </font>
    <font>
      <sz val="18"/>
      <name val="Cambria"/>
      <family val="1"/>
      <scheme val="major"/>
    </font>
    <font>
      <b/>
      <sz val="13"/>
      <color theme="1"/>
      <name val="Cambria"/>
      <family val="1"/>
      <scheme val="major"/>
    </font>
    <font>
      <b/>
      <sz val="14"/>
      <name val="Cambria"/>
      <family val="1"/>
      <scheme val="major"/>
    </font>
    <font>
      <sz val="14"/>
      <name val="Cambria"/>
      <family val="1"/>
      <scheme val="major"/>
    </font>
    <font>
      <b/>
      <sz val="18"/>
      <color theme="1"/>
      <name val="Cambria"/>
      <family val="1"/>
      <scheme val="major"/>
    </font>
    <font>
      <b/>
      <sz val="12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0"/>
      <name val="Arial"/>
      <family val="2"/>
    </font>
    <font>
      <b/>
      <sz val="8.5"/>
      <color theme="1"/>
      <name val="Cambria"/>
      <family val="1"/>
      <scheme val="major"/>
    </font>
    <font>
      <sz val="18"/>
      <name val="Marlett"/>
      <charset val="2"/>
    </font>
    <font>
      <b/>
      <sz val="16"/>
      <name val="Cambria"/>
      <family val="1"/>
      <scheme val="major"/>
    </font>
    <font>
      <b/>
      <sz val="8"/>
      <name val="Calibri"/>
      <family val="2"/>
      <scheme val="minor"/>
    </font>
    <font>
      <sz val="15"/>
      <name val="Cambria"/>
      <family val="1"/>
      <scheme val="major"/>
    </font>
    <font>
      <b/>
      <sz val="8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b/>
      <sz val="13.5"/>
      <color theme="1"/>
      <name val="Cambria"/>
      <family val="1"/>
      <scheme val="major"/>
    </font>
    <font>
      <b/>
      <sz val="13.6"/>
      <name val="Cambria"/>
      <family val="1"/>
      <scheme val="major"/>
    </font>
    <font>
      <b/>
      <sz val="17"/>
      <color theme="1"/>
      <name val="Cambria"/>
      <family val="1"/>
      <scheme val="major"/>
    </font>
    <font>
      <b/>
      <sz val="13.5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70C0"/>
      </left>
      <right/>
      <top/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 style="thin">
        <color rgb="FF3F3F3F"/>
      </left>
      <right/>
      <top style="thick">
        <color rgb="FF0070C0"/>
      </top>
      <bottom style="thin">
        <color rgb="FF3F3F3F"/>
      </bottom>
      <diagonal/>
    </border>
    <border>
      <left/>
      <right/>
      <top style="thick">
        <color rgb="FF0070C0"/>
      </top>
      <bottom style="thin">
        <color rgb="FF3F3F3F"/>
      </bottom>
      <diagonal/>
    </border>
    <border>
      <left/>
      <right style="thin">
        <color rgb="FF3F3F3F"/>
      </right>
      <top style="thick">
        <color rgb="FF0070C0"/>
      </top>
      <bottom style="thin">
        <color rgb="FF3F3F3F"/>
      </bottom>
      <diagonal/>
    </border>
    <border>
      <left style="thin">
        <color rgb="FF3F3F3F"/>
      </left>
      <right/>
      <top style="thick">
        <color rgb="FF0070C0"/>
      </top>
      <bottom/>
      <diagonal/>
    </border>
    <border>
      <left style="thick">
        <color rgb="FF0070C0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0070C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0070C0"/>
      </right>
      <top/>
      <bottom/>
      <diagonal/>
    </border>
    <border>
      <left style="thick">
        <color rgb="FF0070C0"/>
      </left>
      <right/>
      <top/>
      <bottom style="thin">
        <color rgb="FF3F3F3F"/>
      </bottom>
      <diagonal/>
    </border>
    <border>
      <left style="thick">
        <color rgb="FF0070C0"/>
      </left>
      <right/>
      <top style="thin">
        <color rgb="FF3F3F3F"/>
      </top>
      <bottom style="thin">
        <color rgb="FF3F3F3F"/>
      </bottom>
      <diagonal/>
    </border>
    <border>
      <left style="thick">
        <color rgb="FF0070C0"/>
      </left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rgb="FF0070C0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rgb="FF0070C0"/>
      </right>
      <top/>
      <bottom style="thick">
        <color indexed="64"/>
      </bottom>
      <diagonal/>
    </border>
    <border>
      <left style="medium">
        <color indexed="64"/>
      </left>
      <right style="thick">
        <color rgb="FF0070C0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ck">
        <color rgb="FF0070C0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0070C0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ck">
        <color rgb="FF0070C0"/>
      </right>
      <top/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rgb="FF3F3F3F"/>
      </top>
      <bottom/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thick">
        <color rgb="FF0070C0"/>
      </right>
      <top style="thin">
        <color rgb="FF3F3F3F"/>
      </top>
      <bottom style="thin">
        <color rgb="FF3F3F3F"/>
      </bottom>
      <diagonal/>
    </border>
    <border>
      <left/>
      <right style="thick">
        <color rgb="FF0070C0"/>
      </right>
      <top/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rgb="FF0070C0"/>
      </right>
      <top/>
      <bottom style="thin">
        <color indexed="64"/>
      </bottom>
      <diagonal/>
    </border>
    <border>
      <left style="medium">
        <color indexed="64"/>
      </left>
      <right style="thick">
        <color rgb="FF0070C0"/>
      </right>
      <top style="thin">
        <color rgb="FF3F3F3F"/>
      </top>
      <bottom style="thin">
        <color indexed="64"/>
      </bottom>
      <diagonal/>
    </border>
    <border>
      <left style="thick">
        <color rgb="FF0070C0"/>
      </left>
      <right style="medium">
        <color indexed="64"/>
      </right>
      <top style="thick">
        <color indexed="64"/>
      </top>
      <bottom/>
      <diagonal/>
    </border>
    <border>
      <left style="thick">
        <color rgb="FF0070C0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rgb="FF0070C0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rgb="FF0070C0"/>
      </right>
      <top style="thin">
        <color indexed="64"/>
      </top>
      <bottom style="thin">
        <color rgb="FF3F3F3F"/>
      </bottom>
      <diagonal/>
    </border>
    <border>
      <left/>
      <right style="thick">
        <color rgb="FF0070C0"/>
      </right>
      <top style="thin">
        <color rgb="FF3F3F3F"/>
      </top>
      <bottom/>
      <diagonal/>
    </border>
    <border>
      <left/>
      <right style="thick">
        <color rgb="FF0070C0"/>
      </right>
      <top style="thin">
        <color indexed="64"/>
      </top>
      <bottom/>
      <diagonal/>
    </border>
    <border>
      <left style="thick">
        <color rgb="FF0070C0"/>
      </left>
      <right/>
      <top style="thin">
        <color rgb="FF3F3F3F"/>
      </top>
      <bottom/>
      <diagonal/>
    </border>
    <border>
      <left style="medium">
        <color indexed="64"/>
      </left>
      <right style="thick">
        <color rgb="FF0070C0"/>
      </right>
      <top style="thin">
        <color rgb="FF3F3F3F"/>
      </top>
      <bottom/>
      <diagonal/>
    </border>
  </borders>
  <cellStyleXfs count="6">
    <xf numFmtId="0" fontId="0" fillId="0" borderId="0"/>
    <xf numFmtId="0" fontId="6" fillId="2" borderId="3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7" fillId="0" borderId="2" applyNumberFormat="0" applyFill="0" applyAlignment="0" applyProtection="0"/>
    <xf numFmtId="0" fontId="16" fillId="0" borderId="0"/>
  </cellStyleXfs>
  <cellXfs count="162">
    <xf numFmtId="0" fontId="0" fillId="0" borderId="0" xfId="0"/>
    <xf numFmtId="49" fontId="18" fillId="0" borderId="2" xfId="4" applyNumberFormat="1" applyFont="1"/>
    <xf numFmtId="0" fontId="16" fillId="0" borderId="0" xfId="5"/>
    <xf numFmtId="0" fontId="19" fillId="0" borderId="0" xfId="5" applyFont="1"/>
    <xf numFmtId="0" fontId="16" fillId="0" borderId="16" xfId="5" applyBorder="1"/>
    <xf numFmtId="0" fontId="19" fillId="0" borderId="16" xfId="5" applyFont="1" applyBorder="1"/>
    <xf numFmtId="16" fontId="19" fillId="0" borderId="16" xfId="5" applyNumberFormat="1" applyFont="1" applyBorder="1"/>
    <xf numFmtId="167" fontId="16" fillId="0" borderId="16" xfId="5" applyNumberFormat="1" applyBorder="1" applyAlignment="1">
      <alignment horizontal="center"/>
    </xf>
    <xf numFmtId="167" fontId="16" fillId="0" borderId="16" xfId="5" applyNumberFormat="1" applyBorder="1" applyAlignment="1">
      <alignment horizontal="center" vertical="center"/>
    </xf>
    <xf numFmtId="0" fontId="16" fillId="0" borderId="0" xfId="5" applyBorder="1"/>
    <xf numFmtId="2" fontId="16" fillId="0" borderId="0" xfId="5" applyNumberFormat="1"/>
    <xf numFmtId="2" fontId="5" fillId="2" borderId="14" xfId="1" applyNumberFormat="1" applyFont="1" applyBorder="1" applyAlignment="1">
      <alignment horizontal="center" vertical="center"/>
    </xf>
    <xf numFmtId="2" fontId="16" fillId="0" borderId="0" xfId="5" applyNumberFormat="1" applyAlignment="1">
      <alignment horizontal="center"/>
    </xf>
    <xf numFmtId="0" fontId="22" fillId="0" borderId="24" xfId="0" applyFont="1" applyBorder="1" applyAlignment="1" applyProtection="1">
      <alignment horizontal="right"/>
    </xf>
    <xf numFmtId="0" fontId="3" fillId="0" borderId="18" xfId="0" applyFont="1" applyBorder="1" applyAlignment="1" applyProtection="1">
      <alignment horizontal="right"/>
    </xf>
    <xf numFmtId="0" fontId="4" fillId="0" borderId="18" xfId="0" applyFont="1" applyBorder="1" applyProtection="1"/>
    <xf numFmtId="0" fontId="0" fillId="0" borderId="19" xfId="0" applyBorder="1" applyProtection="1"/>
    <xf numFmtId="0" fontId="0" fillId="0" borderId="0" xfId="0" applyProtection="1"/>
    <xf numFmtId="0" fontId="4" fillId="0" borderId="17" xfId="0" applyFont="1" applyBorder="1" applyProtection="1"/>
    <xf numFmtId="0" fontId="4" fillId="0" borderId="0" xfId="0" applyFont="1" applyBorder="1" applyProtection="1"/>
    <xf numFmtId="166" fontId="12" fillId="2" borderId="32" xfId="1" applyNumberFormat="1" applyFont="1" applyBorder="1" applyAlignment="1" applyProtection="1">
      <alignment horizontal="center"/>
    </xf>
    <xf numFmtId="166" fontId="23" fillId="2" borderId="6" xfId="1" applyNumberFormat="1" applyFont="1" applyBorder="1" applyAlignment="1" applyProtection="1">
      <alignment horizontal="center"/>
    </xf>
    <xf numFmtId="0" fontId="24" fillId="2" borderId="5" xfId="1" applyNumberFormat="1" applyFont="1" applyBorder="1" applyAlignment="1" applyProtection="1">
      <alignment horizontal="center"/>
    </xf>
    <xf numFmtId="0" fontId="21" fillId="2" borderId="5" xfId="1" applyNumberFormat="1" applyFont="1" applyBorder="1" applyAlignment="1" applyProtection="1">
      <alignment horizontal="center"/>
    </xf>
    <xf numFmtId="164" fontId="24" fillId="2" borderId="6" xfId="1" applyNumberFormat="1" applyFont="1" applyBorder="1" applyAlignment="1" applyProtection="1">
      <alignment horizontal="center"/>
    </xf>
    <xf numFmtId="164" fontId="24" fillId="2" borderId="7" xfId="1" applyNumberFormat="1" applyFont="1" applyBorder="1" applyAlignment="1" applyProtection="1">
      <alignment horizontal="center"/>
    </xf>
    <xf numFmtId="164" fontId="24" fillId="2" borderId="8" xfId="1" applyNumberFormat="1" applyFont="1" applyBorder="1" applyAlignment="1" applyProtection="1">
      <alignment horizontal="center"/>
    </xf>
    <xf numFmtId="164" fontId="24" fillId="2" borderId="10" xfId="1" applyNumberFormat="1" applyFont="1" applyBorder="1" applyAlignment="1" applyProtection="1">
      <alignment horizontal="center"/>
    </xf>
    <xf numFmtId="164" fontId="24" fillId="2" borderId="4" xfId="1" applyNumberFormat="1" applyFont="1" applyBorder="1" applyAlignment="1" applyProtection="1">
      <alignment horizontal="center"/>
    </xf>
    <xf numFmtId="167" fontId="0" fillId="0" borderId="0" xfId="0" applyNumberFormat="1" applyProtection="1"/>
    <xf numFmtId="0" fontId="12" fillId="2" borderId="32" xfId="1" applyFont="1" applyBorder="1" applyAlignment="1" applyProtection="1">
      <alignment horizontal="center"/>
    </xf>
    <xf numFmtId="0" fontId="12" fillId="2" borderId="33" xfId="1" applyFont="1" applyBorder="1" applyAlignment="1" applyProtection="1">
      <alignment horizontal="center"/>
    </xf>
    <xf numFmtId="168" fontId="0" fillId="0" borderId="0" xfId="0" applyNumberFormat="1" applyProtection="1"/>
    <xf numFmtId="0" fontId="12" fillId="2" borderId="34" xfId="1" applyFont="1" applyBorder="1" applyAlignment="1" applyProtection="1">
      <alignment horizontal="center"/>
    </xf>
    <xf numFmtId="0" fontId="2" fillId="0" borderId="17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horizontal="right" vertical="center"/>
    </xf>
    <xf numFmtId="0" fontId="10" fillId="0" borderId="0" xfId="0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right"/>
    </xf>
    <xf numFmtId="0" fontId="4" fillId="0" borderId="17" xfId="0" applyFont="1" applyBorder="1" applyAlignment="1" applyProtection="1"/>
    <xf numFmtId="0" fontId="4" fillId="0" borderId="0" xfId="0" applyFont="1" applyBorder="1" applyAlignment="1" applyProtection="1"/>
    <xf numFmtId="0" fontId="4" fillId="5" borderId="21" xfId="0" applyFont="1" applyFill="1" applyBorder="1" applyAlignment="1" applyProtection="1"/>
    <xf numFmtId="0" fontId="4" fillId="5" borderId="22" xfId="0" applyFont="1" applyFill="1" applyBorder="1" applyAlignment="1" applyProtection="1"/>
    <xf numFmtId="0" fontId="5" fillId="5" borderId="22" xfId="0" applyFont="1" applyFill="1" applyBorder="1" applyAlignment="1" applyProtection="1">
      <alignment horizontal="right"/>
    </xf>
    <xf numFmtId="0" fontId="5" fillId="5" borderId="23" xfId="0" applyFont="1" applyFill="1" applyBorder="1" applyAlignment="1" applyProtection="1">
      <alignment horizontal="right"/>
    </xf>
    <xf numFmtId="0" fontId="7" fillId="2" borderId="5" xfId="1" applyNumberFormat="1" applyFont="1" applyBorder="1" applyAlignment="1" applyProtection="1">
      <alignment horizontal="center"/>
    </xf>
    <xf numFmtId="169" fontId="4" fillId="0" borderId="18" xfId="0" applyNumberFormat="1" applyFont="1" applyBorder="1" applyProtection="1"/>
    <xf numFmtId="167" fontId="16" fillId="0" borderId="16" xfId="5" applyNumberFormat="1" applyBorder="1" applyAlignment="1">
      <alignment vertical="center"/>
    </xf>
    <xf numFmtId="0" fontId="9" fillId="0" borderId="0" xfId="0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right"/>
    </xf>
    <xf numFmtId="0" fontId="0" fillId="0" borderId="18" xfId="0" applyBorder="1" applyProtection="1"/>
    <xf numFmtId="164" fontId="9" fillId="2" borderId="46" xfId="1" applyNumberFormat="1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49" xfId="0" applyBorder="1" applyProtection="1"/>
    <xf numFmtId="0" fontId="0" fillId="0" borderId="20" xfId="0" applyBorder="1" applyProtection="1"/>
    <xf numFmtId="164" fontId="24" fillId="2" borderId="51" xfId="1" applyNumberFormat="1" applyFont="1" applyBorder="1" applyAlignment="1" applyProtection="1">
      <alignment horizontal="center"/>
    </xf>
    <xf numFmtId="0" fontId="0" fillId="0" borderId="17" xfId="0" applyBorder="1" applyProtection="1"/>
    <xf numFmtId="0" fontId="9" fillId="0" borderId="0" xfId="0" applyFont="1" applyBorder="1" applyAlignment="1" applyProtection="1"/>
    <xf numFmtId="164" fontId="9" fillId="2" borderId="16" xfId="1" applyNumberFormat="1" applyFont="1" applyBorder="1" applyAlignment="1" applyProtection="1">
      <alignment horizontal="center"/>
    </xf>
    <xf numFmtId="164" fontId="27" fillId="2" borderId="52" xfId="1" applyNumberFormat="1" applyFont="1" applyBorder="1" applyAlignment="1" applyProtection="1">
      <alignment horizontal="center" vertical="center"/>
    </xf>
    <xf numFmtId="164" fontId="27" fillId="2" borderId="53" xfId="1" applyNumberFormat="1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right"/>
    </xf>
    <xf numFmtId="0" fontId="16" fillId="0" borderId="0" xfId="0" applyFont="1" applyProtection="1"/>
    <xf numFmtId="0" fontId="0" fillId="0" borderId="54" xfId="0" applyBorder="1" applyProtection="1"/>
    <xf numFmtId="0" fontId="9" fillId="0" borderId="55" xfId="0" applyFont="1" applyBorder="1" applyAlignment="1" applyProtection="1"/>
    <xf numFmtId="0" fontId="9" fillId="0" borderId="49" xfId="0" applyFont="1" applyBorder="1" applyAlignment="1" applyProtection="1"/>
    <xf numFmtId="164" fontId="24" fillId="2" borderId="57" xfId="1" applyNumberFormat="1" applyFont="1" applyBorder="1" applyAlignment="1" applyProtection="1">
      <alignment horizontal="center"/>
    </xf>
    <xf numFmtId="164" fontId="24" fillId="2" borderId="56" xfId="1" applyNumberFormat="1" applyFont="1" applyBorder="1" applyAlignment="1" applyProtection="1">
      <alignment horizontal="center"/>
    </xf>
    <xf numFmtId="164" fontId="24" fillId="2" borderId="58" xfId="1" applyNumberFormat="1" applyFont="1" applyBorder="1" applyAlignment="1" applyProtection="1">
      <alignment horizontal="center"/>
    </xf>
    <xf numFmtId="164" fontId="27" fillId="2" borderId="59" xfId="1" applyNumberFormat="1" applyFont="1" applyBorder="1" applyAlignment="1" applyProtection="1">
      <alignment horizontal="center" vertical="center"/>
    </xf>
    <xf numFmtId="164" fontId="27" fillId="2" borderId="60" xfId="1" applyNumberFormat="1" applyFont="1" applyBorder="1" applyAlignment="1" applyProtection="1">
      <alignment horizontal="center" vertical="center"/>
    </xf>
    <xf numFmtId="164" fontId="24" fillId="2" borderId="62" xfId="1" applyNumberFormat="1" applyFont="1" applyBorder="1" applyAlignment="1" applyProtection="1">
      <alignment horizontal="center"/>
    </xf>
    <xf numFmtId="0" fontId="4" fillId="0" borderId="41" xfId="0" applyFont="1" applyBorder="1" applyProtection="1"/>
    <xf numFmtId="0" fontId="9" fillId="0" borderId="0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left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54" xfId="0" applyFont="1" applyBorder="1" applyAlignment="1" applyProtection="1"/>
    <xf numFmtId="0" fontId="10" fillId="0" borderId="17" xfId="0" applyFont="1" applyBorder="1" applyAlignment="1" applyProtection="1">
      <alignment horizontal="left"/>
    </xf>
    <xf numFmtId="0" fontId="9" fillId="0" borderId="17" xfId="0" applyFont="1" applyBorder="1" applyAlignment="1" applyProtection="1">
      <alignment horizontal="left" vertical="center"/>
    </xf>
    <xf numFmtId="167" fontId="16" fillId="0" borderId="16" xfId="5" applyNumberFormat="1" applyBorder="1"/>
    <xf numFmtId="164" fontId="27" fillId="2" borderId="67" xfId="1" applyNumberFormat="1" applyFont="1" applyBorder="1" applyAlignment="1" applyProtection="1">
      <alignment horizontal="center" vertical="center"/>
    </xf>
    <xf numFmtId="164" fontId="27" fillId="2" borderId="75" xfId="1" applyNumberFormat="1" applyFont="1" applyBorder="1" applyAlignment="1" applyProtection="1">
      <alignment horizontal="center" vertical="center"/>
    </xf>
    <xf numFmtId="164" fontId="27" fillId="2" borderId="74" xfId="1" applyNumberFormat="1" applyFont="1" applyBorder="1" applyAlignment="1" applyProtection="1">
      <alignment horizontal="center" vertical="center"/>
    </xf>
    <xf numFmtId="0" fontId="0" fillId="0" borderId="76" xfId="0" applyBorder="1" applyProtection="1"/>
    <xf numFmtId="0" fontId="12" fillId="2" borderId="77" xfId="1" applyFont="1" applyBorder="1" applyAlignment="1" applyProtection="1">
      <alignment horizontal="center"/>
    </xf>
    <xf numFmtId="164" fontId="27" fillId="2" borderId="78" xfId="1" applyNumberFormat="1" applyFont="1" applyBorder="1" applyAlignment="1" applyProtection="1">
      <alignment horizontal="center" vertical="center"/>
    </xf>
    <xf numFmtId="0" fontId="11" fillId="4" borderId="38" xfId="3" applyFont="1" applyBorder="1" applyAlignment="1" applyProtection="1">
      <alignment horizontal="center" vertical="center"/>
    </xf>
    <xf numFmtId="0" fontId="11" fillId="4" borderId="20" xfId="3" applyFont="1" applyBorder="1" applyAlignment="1" applyProtection="1">
      <alignment horizontal="center" vertical="center"/>
    </xf>
    <xf numFmtId="0" fontId="11" fillId="4" borderId="42" xfId="3" applyFont="1" applyBorder="1" applyAlignment="1" applyProtection="1">
      <alignment horizontal="center" vertical="center"/>
    </xf>
    <xf numFmtId="0" fontId="30" fillId="4" borderId="36" xfId="3" applyFont="1" applyBorder="1" applyAlignment="1" applyProtection="1">
      <alignment horizontal="center" vertical="center"/>
    </xf>
    <xf numFmtId="0" fontId="30" fillId="4" borderId="37" xfId="3" applyFont="1" applyBorder="1" applyAlignment="1" applyProtection="1">
      <alignment horizontal="center" vertical="center"/>
    </xf>
    <xf numFmtId="0" fontId="30" fillId="4" borderId="64" xfId="3" applyFont="1" applyBorder="1" applyAlignment="1" applyProtection="1">
      <alignment horizontal="center" vertical="center"/>
    </xf>
    <xf numFmtId="0" fontId="30" fillId="4" borderId="39" xfId="3" applyFont="1" applyBorder="1" applyAlignment="1" applyProtection="1">
      <alignment horizontal="center" vertical="center"/>
    </xf>
    <xf numFmtId="0" fontId="30" fillId="4" borderId="0" xfId="3" applyFont="1" applyBorder="1" applyAlignment="1" applyProtection="1">
      <alignment horizontal="center" vertical="center"/>
    </xf>
    <xf numFmtId="0" fontId="30" fillId="4" borderId="61" xfId="3" applyFont="1" applyBorder="1" applyAlignment="1" applyProtection="1">
      <alignment horizontal="center" vertical="center"/>
    </xf>
    <xf numFmtId="0" fontId="30" fillId="4" borderId="40" xfId="3" applyFont="1" applyBorder="1" applyAlignment="1" applyProtection="1">
      <alignment horizontal="center" vertical="center"/>
    </xf>
    <xf numFmtId="0" fontId="30" fillId="4" borderId="41" xfId="3" applyFont="1" applyBorder="1" applyAlignment="1" applyProtection="1">
      <alignment horizontal="center" vertical="center"/>
    </xf>
    <xf numFmtId="0" fontId="30" fillId="4" borderId="65" xfId="3" applyFont="1" applyBorder="1" applyAlignment="1" applyProtection="1">
      <alignment horizontal="center" vertical="center"/>
    </xf>
    <xf numFmtId="0" fontId="11" fillId="4" borderId="43" xfId="3" applyFont="1" applyBorder="1" applyAlignment="1" applyProtection="1">
      <alignment horizontal="center" vertical="center"/>
    </xf>
    <xf numFmtId="0" fontId="11" fillId="4" borderId="31" xfId="3" applyFont="1" applyBorder="1" applyAlignment="1" applyProtection="1">
      <alignment horizontal="center" vertical="center"/>
    </xf>
    <xf numFmtId="0" fontId="11" fillId="4" borderId="50" xfId="3" applyFont="1" applyBorder="1" applyAlignment="1" applyProtection="1">
      <alignment horizontal="center" vertical="center"/>
    </xf>
    <xf numFmtId="0" fontId="29" fillId="0" borderId="17" xfId="0" applyFont="1" applyBorder="1" applyAlignment="1" applyProtection="1">
      <alignment horizontal="left"/>
    </xf>
    <xf numFmtId="0" fontId="29" fillId="0" borderId="0" xfId="0" applyFont="1" applyBorder="1" applyAlignment="1" applyProtection="1">
      <alignment horizontal="left"/>
    </xf>
    <xf numFmtId="0" fontId="9" fillId="0" borderId="17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left"/>
    </xf>
    <xf numFmtId="0" fontId="28" fillId="3" borderId="43" xfId="2" applyFont="1" applyBorder="1" applyAlignment="1" applyProtection="1">
      <alignment horizontal="center" vertical="center" wrapText="1"/>
    </xf>
    <xf numFmtId="0" fontId="28" fillId="3" borderId="31" xfId="2" applyFont="1" applyBorder="1" applyAlignment="1" applyProtection="1">
      <alignment horizontal="center" vertical="center" wrapText="1"/>
    </xf>
    <xf numFmtId="0" fontId="28" fillId="3" borderId="66" xfId="2" applyFont="1" applyBorder="1" applyAlignment="1" applyProtection="1">
      <alignment horizontal="center" vertical="center" wrapText="1"/>
    </xf>
    <xf numFmtId="0" fontId="25" fillId="3" borderId="1" xfId="2" applyFont="1" applyBorder="1" applyAlignment="1" applyProtection="1">
      <alignment horizontal="center" vertical="center" wrapText="1"/>
    </xf>
    <xf numFmtId="0" fontId="15" fillId="3" borderId="35" xfId="2" applyFont="1" applyBorder="1" applyAlignment="1" applyProtection="1">
      <alignment horizontal="center" vertical="center" wrapText="1"/>
    </xf>
    <xf numFmtId="0" fontId="15" fillId="3" borderId="1" xfId="2" applyFont="1" applyBorder="1" applyAlignment="1" applyProtection="1">
      <alignment horizontal="center" vertical="center" wrapText="1"/>
    </xf>
    <xf numFmtId="0" fontId="13" fillId="3" borderId="35" xfId="2" applyFont="1" applyBorder="1" applyAlignment="1" applyProtection="1">
      <alignment horizontal="center" vertical="center" wrapText="1"/>
    </xf>
    <xf numFmtId="0" fontId="13" fillId="3" borderId="1" xfId="2" applyFont="1" applyBorder="1" applyAlignment="1" applyProtection="1">
      <alignment horizontal="center" vertical="center" wrapText="1"/>
    </xf>
    <xf numFmtId="0" fontId="13" fillId="3" borderId="11" xfId="2" applyFont="1" applyBorder="1" applyAlignment="1" applyProtection="1">
      <alignment horizontal="center" vertical="center" wrapText="1"/>
    </xf>
    <xf numFmtId="0" fontId="8" fillId="3" borderId="35" xfId="2" applyFont="1" applyBorder="1" applyAlignment="1" applyProtection="1">
      <alignment horizontal="center" vertical="center" wrapText="1"/>
    </xf>
    <xf numFmtId="0" fontId="8" fillId="3" borderId="1" xfId="2" applyFont="1" applyBorder="1" applyAlignment="1" applyProtection="1">
      <alignment horizontal="center" vertical="center" wrapText="1"/>
    </xf>
    <xf numFmtId="165" fontId="7" fillId="2" borderId="25" xfId="1" applyNumberFormat="1" applyFont="1" applyBorder="1" applyAlignment="1" applyProtection="1">
      <alignment horizontal="center"/>
    </xf>
    <xf numFmtId="165" fontId="7" fillId="2" borderId="26" xfId="1" applyNumberFormat="1" applyFont="1" applyBorder="1" applyAlignment="1" applyProtection="1">
      <alignment horizontal="center"/>
    </xf>
    <xf numFmtId="165" fontId="7" fillId="2" borderId="27" xfId="1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20" fillId="3" borderId="35" xfId="2" applyFont="1" applyBorder="1" applyAlignment="1" applyProtection="1">
      <alignment horizontal="center" vertical="center" wrapText="1"/>
    </xf>
    <xf numFmtId="0" fontId="20" fillId="3" borderId="1" xfId="2" applyFont="1" applyBorder="1" applyAlignment="1" applyProtection="1">
      <alignment horizontal="center" vertical="center" wrapText="1"/>
    </xf>
    <xf numFmtId="0" fontId="20" fillId="3" borderId="11" xfId="2" applyFont="1" applyBorder="1" applyAlignment="1" applyProtection="1">
      <alignment horizontal="center" vertical="center" wrapText="1"/>
    </xf>
    <xf numFmtId="0" fontId="14" fillId="3" borderId="68" xfId="2" applyFont="1" applyBorder="1" applyAlignment="1" applyProtection="1">
      <alignment horizontal="center" vertical="center" wrapText="1"/>
    </xf>
    <xf numFmtId="0" fontId="14" fillId="3" borderId="30" xfId="2" applyFont="1" applyBorder="1" applyAlignment="1" applyProtection="1">
      <alignment horizontal="center" vertical="center" wrapText="1"/>
    </xf>
    <xf numFmtId="0" fontId="26" fillId="3" borderId="1" xfId="2" applyFont="1" applyBorder="1" applyAlignment="1" applyProtection="1">
      <alignment horizontal="center" vertical="center" wrapText="1"/>
    </xf>
    <xf numFmtId="0" fontId="11" fillId="4" borderId="69" xfId="3" applyFont="1" applyBorder="1" applyAlignment="1" applyProtection="1">
      <alignment horizontal="center" vertical="center"/>
    </xf>
    <xf numFmtId="0" fontId="11" fillId="4" borderId="37" xfId="3" applyFont="1" applyBorder="1" applyAlignment="1" applyProtection="1">
      <alignment horizontal="center" vertical="center"/>
    </xf>
    <xf numFmtId="0" fontId="11" fillId="4" borderId="70" xfId="3" applyFont="1" applyBorder="1" applyAlignment="1" applyProtection="1">
      <alignment horizontal="center" vertical="center"/>
    </xf>
    <xf numFmtId="0" fontId="11" fillId="4" borderId="17" xfId="3" applyFont="1" applyBorder="1" applyAlignment="1" applyProtection="1">
      <alignment horizontal="center" vertical="center"/>
    </xf>
    <xf numFmtId="0" fontId="11" fillId="4" borderId="0" xfId="3" applyFont="1" applyBorder="1" applyAlignment="1" applyProtection="1">
      <alignment horizontal="center" vertical="center"/>
    </xf>
    <xf numFmtId="0" fontId="11" fillId="4" borderId="71" xfId="3" applyFont="1" applyBorder="1" applyAlignment="1" applyProtection="1">
      <alignment horizontal="center" vertical="center"/>
    </xf>
    <xf numFmtId="0" fontId="11" fillId="4" borderId="72" xfId="3" applyFont="1" applyBorder="1" applyAlignment="1" applyProtection="1">
      <alignment horizontal="center" vertical="center"/>
    </xf>
    <xf numFmtId="0" fontId="11" fillId="4" borderId="41" xfId="3" applyFont="1" applyBorder="1" applyAlignment="1" applyProtection="1">
      <alignment horizontal="center" vertical="center"/>
    </xf>
    <xf numFmtId="0" fontId="11" fillId="4" borderId="73" xfId="3" applyFont="1" applyBorder="1" applyAlignment="1" applyProtection="1">
      <alignment horizontal="center" vertical="center"/>
    </xf>
    <xf numFmtId="0" fontId="25" fillId="3" borderId="35" xfId="2" applyFont="1" applyBorder="1" applyAlignment="1" applyProtection="1">
      <alignment horizontal="center" vertical="center" wrapText="1"/>
    </xf>
    <xf numFmtId="0" fontId="26" fillId="3" borderId="35" xfId="2" applyFont="1" applyBorder="1" applyAlignment="1" applyProtection="1">
      <alignment horizontal="center" vertical="center" wrapText="1"/>
    </xf>
    <xf numFmtId="0" fontId="11" fillId="4" borderId="29" xfId="3" applyFont="1" applyBorder="1" applyAlignment="1" applyProtection="1">
      <alignment horizontal="center" vertical="center"/>
    </xf>
    <xf numFmtId="0" fontId="11" fillId="4" borderId="15" xfId="3" applyFont="1" applyBorder="1" applyAlignment="1" applyProtection="1">
      <alignment horizontal="center" vertical="center"/>
    </xf>
    <xf numFmtId="0" fontId="28" fillId="3" borderId="38" xfId="2" applyFont="1" applyBorder="1" applyAlignment="1" applyProtection="1">
      <alignment horizontal="center" vertical="center" wrapText="1"/>
    </xf>
    <xf numFmtId="0" fontId="28" fillId="3" borderId="20" xfId="2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left"/>
    </xf>
    <xf numFmtId="0" fontId="31" fillId="0" borderId="9" xfId="0" applyFont="1" applyBorder="1" applyAlignment="1" applyProtection="1">
      <alignment horizontal="left"/>
    </xf>
    <xf numFmtId="0" fontId="30" fillId="4" borderId="15" xfId="3" applyFont="1" applyBorder="1" applyAlignment="1" applyProtection="1">
      <alignment horizontal="center" vertical="center"/>
    </xf>
    <xf numFmtId="0" fontId="30" fillId="4" borderId="63" xfId="3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left"/>
    </xf>
    <xf numFmtId="2" fontId="9" fillId="2" borderId="12" xfId="1" applyNumberFormat="1" applyFont="1" applyBorder="1" applyAlignment="1">
      <alignment horizontal="center"/>
    </xf>
    <xf numFmtId="2" fontId="9" fillId="2" borderId="13" xfId="1" applyNumberFormat="1" applyFont="1" applyBorder="1" applyAlignment="1">
      <alignment horizontal="center"/>
    </xf>
    <xf numFmtId="0" fontId="19" fillId="0" borderId="9" xfId="5" applyFont="1" applyBorder="1" applyAlignment="1">
      <alignment horizontal="center" vertical="center" wrapText="1"/>
    </xf>
    <xf numFmtId="0" fontId="19" fillId="0" borderId="45" xfId="5" applyFont="1" applyBorder="1" applyAlignment="1">
      <alignment horizontal="center" vertical="center" wrapText="1"/>
    </xf>
    <xf numFmtId="0" fontId="19" fillId="0" borderId="0" xfId="5" applyFont="1" applyBorder="1" applyAlignment="1">
      <alignment horizontal="center" vertical="center" wrapText="1"/>
    </xf>
    <xf numFmtId="2" fontId="9" fillId="2" borderId="44" xfId="1" applyNumberFormat="1" applyFont="1" applyBorder="1" applyAlignment="1">
      <alignment horizontal="center"/>
    </xf>
    <xf numFmtId="0" fontId="19" fillId="0" borderId="9" xfId="5" applyFont="1" applyBorder="1" applyAlignment="1">
      <alignment horizontal="center" wrapText="1"/>
    </xf>
    <xf numFmtId="0" fontId="19" fillId="0" borderId="16" xfId="5" applyFont="1" applyBorder="1" applyAlignment="1">
      <alignment horizontal="center"/>
    </xf>
    <xf numFmtId="0" fontId="19" fillId="0" borderId="46" xfId="5" applyFont="1" applyBorder="1" applyAlignment="1">
      <alignment horizontal="center"/>
    </xf>
    <xf numFmtId="0" fontId="19" fillId="0" borderId="47" xfId="5" applyFont="1" applyBorder="1" applyAlignment="1">
      <alignment horizontal="center"/>
    </xf>
    <xf numFmtId="0" fontId="19" fillId="0" borderId="48" xfId="5" applyFont="1" applyBorder="1" applyAlignment="1">
      <alignment horizontal="center"/>
    </xf>
  </cellXfs>
  <cellStyles count="6">
    <cellStyle name="20% - Accent1" xfId="2" builtinId="30"/>
    <cellStyle name="40% - Accent1" xfId="3" builtinId="31"/>
    <cellStyle name="Heading 1" xfId="4" builtinId="16"/>
    <cellStyle name="Normal" xfId="0" builtinId="0"/>
    <cellStyle name="Normal 2" xfId="5"/>
    <cellStyle name="Output" xfId="1" builtinId="21"/>
  </cellStyles>
  <dxfs count="215"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</dxfs>
  <tableStyles count="0" defaultTableStyle="TableStyleMedium2" defaultPivotStyle="PivotStyleLight16"/>
  <colors>
    <mruColors>
      <color rgb="FFFFEB9C"/>
      <color rgb="FF65E9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11</xdr:col>
      <xdr:colOff>9525</xdr:colOff>
      <xdr:row>8</xdr:row>
      <xdr:rowOff>9525</xdr:rowOff>
    </xdr:to>
    <xdr:cxnSp macro="">
      <xdr:nvCxnSpPr>
        <xdr:cNvPr id="3" name="Straight Connector 2"/>
        <xdr:cNvCxnSpPr/>
      </xdr:nvCxnSpPr>
      <xdr:spPr>
        <a:xfrm>
          <a:off x="0" y="17049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7" name="Straight Connector 6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10</xdr:col>
      <xdr:colOff>0</xdr:colOff>
      <xdr:row>72</xdr:row>
      <xdr:rowOff>0</xdr:rowOff>
    </xdr:to>
    <xdr:cxnSp macro="">
      <xdr:nvCxnSpPr>
        <xdr:cNvPr id="12" name="Straight Connector 11"/>
        <xdr:cNvCxnSpPr/>
      </xdr:nvCxnSpPr>
      <xdr:spPr>
        <a:xfrm>
          <a:off x="0" y="15859125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10</xdr:col>
      <xdr:colOff>0</xdr:colOff>
      <xdr:row>232</xdr:row>
      <xdr:rowOff>0</xdr:rowOff>
    </xdr:to>
    <xdr:cxnSp macro="">
      <xdr:nvCxnSpPr>
        <xdr:cNvPr id="14" name="Straight Connector 13"/>
        <xdr:cNvCxnSpPr/>
      </xdr:nvCxnSpPr>
      <xdr:spPr>
        <a:xfrm>
          <a:off x="0" y="50796825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208</xdr:row>
      <xdr:rowOff>0</xdr:rowOff>
    </xdr:from>
    <xdr:to>
      <xdr:col>11</xdr:col>
      <xdr:colOff>9525</xdr:colOff>
      <xdr:row>208</xdr:row>
      <xdr:rowOff>0</xdr:rowOff>
    </xdr:to>
    <xdr:cxnSp macro="">
      <xdr:nvCxnSpPr>
        <xdr:cNvPr id="15" name="Straight Connector 14"/>
        <xdr:cNvCxnSpPr/>
      </xdr:nvCxnSpPr>
      <xdr:spPr>
        <a:xfrm>
          <a:off x="0" y="45653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10</xdr:col>
      <xdr:colOff>0</xdr:colOff>
      <xdr:row>192</xdr:row>
      <xdr:rowOff>0</xdr:rowOff>
    </xdr:to>
    <xdr:cxnSp macro="">
      <xdr:nvCxnSpPr>
        <xdr:cNvPr id="18" name="Straight Connector 17"/>
        <xdr:cNvCxnSpPr/>
      </xdr:nvCxnSpPr>
      <xdr:spPr>
        <a:xfrm>
          <a:off x="0" y="42062400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10</xdr:col>
      <xdr:colOff>0</xdr:colOff>
      <xdr:row>152</xdr:row>
      <xdr:rowOff>0</xdr:rowOff>
    </xdr:to>
    <xdr:cxnSp macro="">
      <xdr:nvCxnSpPr>
        <xdr:cNvPr id="24" name="Straight Connector 23"/>
        <xdr:cNvCxnSpPr/>
      </xdr:nvCxnSpPr>
      <xdr:spPr>
        <a:xfrm>
          <a:off x="0" y="33327975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10</xdr:col>
      <xdr:colOff>0</xdr:colOff>
      <xdr:row>112</xdr:row>
      <xdr:rowOff>0</xdr:rowOff>
    </xdr:to>
    <xdr:cxnSp macro="">
      <xdr:nvCxnSpPr>
        <xdr:cNvPr id="27" name="Straight Connector 26"/>
        <xdr:cNvCxnSpPr/>
      </xdr:nvCxnSpPr>
      <xdr:spPr>
        <a:xfrm>
          <a:off x="0" y="24593550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272</xdr:row>
      <xdr:rowOff>0</xdr:rowOff>
    </xdr:from>
    <xdr:to>
      <xdr:col>10</xdr:col>
      <xdr:colOff>0</xdr:colOff>
      <xdr:row>272</xdr:row>
      <xdr:rowOff>0</xdr:rowOff>
    </xdr:to>
    <xdr:cxnSp macro="">
      <xdr:nvCxnSpPr>
        <xdr:cNvPr id="33" name="Straight Connector 32"/>
        <xdr:cNvCxnSpPr/>
      </xdr:nvCxnSpPr>
      <xdr:spPr>
        <a:xfrm>
          <a:off x="0" y="50796825"/>
          <a:ext cx="611505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248</xdr:row>
      <xdr:rowOff>0</xdr:rowOff>
    </xdr:from>
    <xdr:to>
      <xdr:col>11</xdr:col>
      <xdr:colOff>9525</xdr:colOff>
      <xdr:row>248</xdr:row>
      <xdr:rowOff>0</xdr:rowOff>
    </xdr:to>
    <xdr:cxnSp macro="">
      <xdr:nvCxnSpPr>
        <xdr:cNvPr id="34" name="Straight Connector 33"/>
        <xdr:cNvCxnSpPr/>
      </xdr:nvCxnSpPr>
      <xdr:spPr>
        <a:xfrm>
          <a:off x="0" y="544353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9</xdr:col>
      <xdr:colOff>891268</xdr:colOff>
      <xdr:row>72</xdr:row>
      <xdr:rowOff>0</xdr:rowOff>
    </xdr:to>
    <xdr:cxnSp macro="">
      <xdr:nvCxnSpPr>
        <xdr:cNvPr id="55" name="Straight Connector 54"/>
        <xdr:cNvCxnSpPr/>
      </xdr:nvCxnSpPr>
      <xdr:spPr>
        <a:xfrm>
          <a:off x="0" y="7094220"/>
          <a:ext cx="649196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48</xdr:row>
      <xdr:rowOff>9525</xdr:rowOff>
    </xdr:from>
    <xdr:to>
      <xdr:col>11</xdr:col>
      <xdr:colOff>9525</xdr:colOff>
      <xdr:row>48</xdr:row>
      <xdr:rowOff>9525</xdr:rowOff>
    </xdr:to>
    <xdr:cxnSp macro="">
      <xdr:nvCxnSpPr>
        <xdr:cNvPr id="56" name="Straight Connector 55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58" name="Straight Connector 57"/>
        <xdr:cNvCxnSpPr/>
      </xdr:nvCxnSpPr>
      <xdr:spPr>
        <a:xfrm>
          <a:off x="0" y="15735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10</xdr:col>
      <xdr:colOff>0</xdr:colOff>
      <xdr:row>112</xdr:row>
      <xdr:rowOff>0</xdr:rowOff>
    </xdr:to>
    <xdr:cxnSp macro="">
      <xdr:nvCxnSpPr>
        <xdr:cNvPr id="61" name="Straight Connector 60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9</xdr:col>
      <xdr:colOff>891268</xdr:colOff>
      <xdr:row>112</xdr:row>
      <xdr:rowOff>0</xdr:rowOff>
    </xdr:to>
    <xdr:cxnSp macro="">
      <xdr:nvCxnSpPr>
        <xdr:cNvPr id="66" name="Straight Connector 65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9525</xdr:rowOff>
    </xdr:from>
    <xdr:to>
      <xdr:col>11</xdr:col>
      <xdr:colOff>9525</xdr:colOff>
      <xdr:row>88</xdr:row>
      <xdr:rowOff>9525</xdr:rowOff>
    </xdr:to>
    <xdr:cxnSp macro="">
      <xdr:nvCxnSpPr>
        <xdr:cNvPr id="67" name="Straight Connector 66"/>
        <xdr:cNvCxnSpPr/>
      </xdr:nvCxnSpPr>
      <xdr:spPr>
        <a:xfrm>
          <a:off x="0" y="19288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69" name="Straight Connector 68"/>
        <xdr:cNvCxnSpPr/>
      </xdr:nvCxnSpPr>
      <xdr:spPr>
        <a:xfrm>
          <a:off x="0" y="24526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10</xdr:col>
      <xdr:colOff>0</xdr:colOff>
      <xdr:row>152</xdr:row>
      <xdr:rowOff>0</xdr:rowOff>
    </xdr:to>
    <xdr:cxnSp macro="">
      <xdr:nvCxnSpPr>
        <xdr:cNvPr id="72" name="Straight Connector 71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9</xdr:col>
      <xdr:colOff>891268</xdr:colOff>
      <xdr:row>152</xdr:row>
      <xdr:rowOff>0</xdr:rowOff>
    </xdr:to>
    <xdr:cxnSp macro="">
      <xdr:nvCxnSpPr>
        <xdr:cNvPr id="77" name="Straight Connector 76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128</xdr:row>
      <xdr:rowOff>9525</xdr:rowOff>
    </xdr:from>
    <xdr:to>
      <xdr:col>11</xdr:col>
      <xdr:colOff>9525</xdr:colOff>
      <xdr:row>128</xdr:row>
      <xdr:rowOff>9525</xdr:rowOff>
    </xdr:to>
    <xdr:cxnSp macro="">
      <xdr:nvCxnSpPr>
        <xdr:cNvPr id="78" name="Straight Connector 77"/>
        <xdr:cNvCxnSpPr/>
      </xdr:nvCxnSpPr>
      <xdr:spPr>
        <a:xfrm>
          <a:off x="0" y="28079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11</xdr:col>
      <xdr:colOff>9525</xdr:colOff>
      <xdr:row>152</xdr:row>
      <xdr:rowOff>0</xdr:rowOff>
    </xdr:to>
    <xdr:cxnSp macro="">
      <xdr:nvCxnSpPr>
        <xdr:cNvPr id="80" name="Straight Connector 79"/>
        <xdr:cNvCxnSpPr/>
      </xdr:nvCxnSpPr>
      <xdr:spPr>
        <a:xfrm>
          <a:off x="0" y="33318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10</xdr:col>
      <xdr:colOff>0</xdr:colOff>
      <xdr:row>192</xdr:row>
      <xdr:rowOff>0</xdr:rowOff>
    </xdr:to>
    <xdr:cxnSp macro="">
      <xdr:nvCxnSpPr>
        <xdr:cNvPr id="83" name="Straight Connector 82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9</xdr:col>
      <xdr:colOff>891268</xdr:colOff>
      <xdr:row>192</xdr:row>
      <xdr:rowOff>0</xdr:rowOff>
    </xdr:to>
    <xdr:cxnSp macro="">
      <xdr:nvCxnSpPr>
        <xdr:cNvPr id="88" name="Straight Connector 87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168</xdr:row>
      <xdr:rowOff>9525</xdr:rowOff>
    </xdr:from>
    <xdr:to>
      <xdr:col>11</xdr:col>
      <xdr:colOff>9525</xdr:colOff>
      <xdr:row>168</xdr:row>
      <xdr:rowOff>9525</xdr:rowOff>
    </xdr:to>
    <xdr:cxnSp macro="">
      <xdr:nvCxnSpPr>
        <xdr:cNvPr id="89" name="Straight Connector 88"/>
        <xdr:cNvCxnSpPr/>
      </xdr:nvCxnSpPr>
      <xdr:spPr>
        <a:xfrm>
          <a:off x="0" y="36871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11</xdr:col>
      <xdr:colOff>9525</xdr:colOff>
      <xdr:row>192</xdr:row>
      <xdr:rowOff>0</xdr:rowOff>
    </xdr:to>
    <xdr:cxnSp macro="">
      <xdr:nvCxnSpPr>
        <xdr:cNvPr id="91" name="Straight Connector 90"/>
        <xdr:cNvCxnSpPr/>
      </xdr:nvCxnSpPr>
      <xdr:spPr>
        <a:xfrm>
          <a:off x="0" y="42110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10</xdr:col>
      <xdr:colOff>0</xdr:colOff>
      <xdr:row>232</xdr:row>
      <xdr:rowOff>0</xdr:rowOff>
    </xdr:to>
    <xdr:cxnSp macro="">
      <xdr:nvCxnSpPr>
        <xdr:cNvPr id="94" name="Straight Connector 93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9</xdr:col>
      <xdr:colOff>891268</xdr:colOff>
      <xdr:row>232</xdr:row>
      <xdr:rowOff>0</xdr:rowOff>
    </xdr:to>
    <xdr:cxnSp macro="">
      <xdr:nvCxnSpPr>
        <xdr:cNvPr id="99" name="Straight Connector 98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11</xdr:col>
      <xdr:colOff>9525</xdr:colOff>
      <xdr:row>232</xdr:row>
      <xdr:rowOff>0</xdr:rowOff>
    </xdr:to>
    <xdr:cxnSp macro="">
      <xdr:nvCxnSpPr>
        <xdr:cNvPr id="102" name="Straight Connector 101"/>
        <xdr:cNvCxnSpPr/>
      </xdr:nvCxnSpPr>
      <xdr:spPr>
        <a:xfrm>
          <a:off x="0" y="50901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272</xdr:row>
      <xdr:rowOff>0</xdr:rowOff>
    </xdr:from>
    <xdr:to>
      <xdr:col>10</xdr:col>
      <xdr:colOff>0</xdr:colOff>
      <xdr:row>272</xdr:row>
      <xdr:rowOff>0</xdr:rowOff>
    </xdr:to>
    <xdr:cxnSp macro="">
      <xdr:nvCxnSpPr>
        <xdr:cNvPr id="105" name="Straight Connector 104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272</xdr:row>
      <xdr:rowOff>0</xdr:rowOff>
    </xdr:from>
    <xdr:to>
      <xdr:col>11</xdr:col>
      <xdr:colOff>9525</xdr:colOff>
      <xdr:row>272</xdr:row>
      <xdr:rowOff>0</xdr:rowOff>
    </xdr:to>
    <xdr:cxnSp macro="">
      <xdr:nvCxnSpPr>
        <xdr:cNvPr id="110" name="Straight Connector 109"/>
        <xdr:cNvCxnSpPr/>
      </xdr:nvCxnSpPr>
      <xdr:spPr>
        <a:xfrm>
          <a:off x="0" y="596836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</xdr:row>
      <xdr:rowOff>0</xdr:rowOff>
    </xdr:from>
    <xdr:to>
      <xdr:col>11</xdr:col>
      <xdr:colOff>9525</xdr:colOff>
      <xdr:row>19</xdr:row>
      <xdr:rowOff>0</xdr:rowOff>
    </xdr:to>
    <xdr:cxnSp macro="">
      <xdr:nvCxnSpPr>
        <xdr:cNvPr id="68" name="Straight Connector 67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59</xdr:row>
      <xdr:rowOff>0</xdr:rowOff>
    </xdr:to>
    <xdr:cxnSp macro="">
      <xdr:nvCxnSpPr>
        <xdr:cNvPr id="71" name="Straight Connector 70"/>
        <xdr:cNvCxnSpPr/>
      </xdr:nvCxnSpPr>
      <xdr:spPr>
        <a:xfrm>
          <a:off x="0" y="129730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99</xdr:row>
      <xdr:rowOff>0</xdr:rowOff>
    </xdr:from>
    <xdr:to>
      <xdr:col>11</xdr:col>
      <xdr:colOff>9525</xdr:colOff>
      <xdr:row>99</xdr:row>
      <xdr:rowOff>0</xdr:rowOff>
    </xdr:to>
    <xdr:cxnSp macro="">
      <xdr:nvCxnSpPr>
        <xdr:cNvPr id="74" name="Straight Connector 73"/>
        <xdr:cNvCxnSpPr/>
      </xdr:nvCxnSpPr>
      <xdr:spPr>
        <a:xfrm>
          <a:off x="0" y="217646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76" name="Straight Connector 75"/>
        <xdr:cNvCxnSpPr/>
      </xdr:nvCxnSpPr>
      <xdr:spPr>
        <a:xfrm>
          <a:off x="0" y="305562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179</xdr:row>
      <xdr:rowOff>0</xdr:rowOff>
    </xdr:from>
    <xdr:to>
      <xdr:col>11</xdr:col>
      <xdr:colOff>9525</xdr:colOff>
      <xdr:row>179</xdr:row>
      <xdr:rowOff>0</xdr:rowOff>
    </xdr:to>
    <xdr:cxnSp macro="">
      <xdr:nvCxnSpPr>
        <xdr:cNvPr id="79" name="Straight Connector 78"/>
        <xdr:cNvCxnSpPr/>
      </xdr:nvCxnSpPr>
      <xdr:spPr>
        <a:xfrm>
          <a:off x="0" y="393477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219</xdr:row>
      <xdr:rowOff>0</xdr:rowOff>
    </xdr:from>
    <xdr:to>
      <xdr:col>11</xdr:col>
      <xdr:colOff>9525</xdr:colOff>
      <xdr:row>219</xdr:row>
      <xdr:rowOff>0</xdr:rowOff>
    </xdr:to>
    <xdr:cxnSp macro="">
      <xdr:nvCxnSpPr>
        <xdr:cNvPr id="82" name="Straight Connector 81"/>
        <xdr:cNvCxnSpPr/>
      </xdr:nvCxnSpPr>
      <xdr:spPr>
        <a:xfrm>
          <a:off x="0" y="48139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259</xdr:row>
      <xdr:rowOff>0</xdr:rowOff>
    </xdr:from>
    <xdr:to>
      <xdr:col>11</xdr:col>
      <xdr:colOff>9525</xdr:colOff>
      <xdr:row>259</xdr:row>
      <xdr:rowOff>0</xdr:rowOff>
    </xdr:to>
    <xdr:cxnSp macro="">
      <xdr:nvCxnSpPr>
        <xdr:cNvPr id="85" name="Straight Connector 84"/>
        <xdr:cNvCxnSpPr/>
      </xdr:nvCxnSpPr>
      <xdr:spPr>
        <a:xfrm>
          <a:off x="0" y="569214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2" name="Straight Connector 1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cxnSp macro="">
      <xdr:nvCxnSpPr>
        <xdr:cNvPr id="5" name="Straight Connector 4"/>
        <xdr:cNvCxnSpPr/>
      </xdr:nvCxnSpPr>
      <xdr:spPr>
        <a:xfrm>
          <a:off x="0" y="105441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86</xdr:row>
      <xdr:rowOff>0</xdr:rowOff>
    </xdr:from>
    <xdr:to>
      <xdr:col>11</xdr:col>
      <xdr:colOff>9525</xdr:colOff>
      <xdr:row>86</xdr:row>
      <xdr:rowOff>0</xdr:rowOff>
    </xdr:to>
    <xdr:cxnSp macro="">
      <xdr:nvCxnSpPr>
        <xdr:cNvPr id="8" name="Straight Connector 7"/>
        <xdr:cNvCxnSpPr/>
      </xdr:nvCxnSpPr>
      <xdr:spPr>
        <a:xfrm>
          <a:off x="0" y="193929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203</xdr:row>
      <xdr:rowOff>0</xdr:rowOff>
    </xdr:from>
    <xdr:to>
      <xdr:col>11</xdr:col>
      <xdr:colOff>9525</xdr:colOff>
      <xdr:row>203</xdr:row>
      <xdr:rowOff>0</xdr:rowOff>
    </xdr:to>
    <xdr:cxnSp macro="">
      <xdr:nvCxnSpPr>
        <xdr:cNvPr id="10" name="Straight Connector 9"/>
        <xdr:cNvCxnSpPr/>
      </xdr:nvCxnSpPr>
      <xdr:spPr>
        <a:xfrm>
          <a:off x="0" y="459390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164</xdr:row>
      <xdr:rowOff>0</xdr:rowOff>
    </xdr:from>
    <xdr:to>
      <xdr:col>11</xdr:col>
      <xdr:colOff>9525</xdr:colOff>
      <xdr:row>164</xdr:row>
      <xdr:rowOff>0</xdr:rowOff>
    </xdr:to>
    <xdr:cxnSp macro="">
      <xdr:nvCxnSpPr>
        <xdr:cNvPr id="14" name="Straight Connector 13"/>
        <xdr:cNvCxnSpPr/>
      </xdr:nvCxnSpPr>
      <xdr:spPr>
        <a:xfrm>
          <a:off x="0" y="3709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125</xdr:row>
      <xdr:rowOff>0</xdr:rowOff>
    </xdr:from>
    <xdr:to>
      <xdr:col>11</xdr:col>
      <xdr:colOff>9525</xdr:colOff>
      <xdr:row>125</xdr:row>
      <xdr:rowOff>0</xdr:rowOff>
    </xdr:to>
    <xdr:cxnSp macro="">
      <xdr:nvCxnSpPr>
        <xdr:cNvPr id="17" name="Straight Connector 16"/>
        <xdr:cNvCxnSpPr/>
      </xdr:nvCxnSpPr>
      <xdr:spPr>
        <a:xfrm>
          <a:off x="0" y="282416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242</xdr:row>
      <xdr:rowOff>0</xdr:rowOff>
    </xdr:from>
    <xdr:to>
      <xdr:col>11</xdr:col>
      <xdr:colOff>9525</xdr:colOff>
      <xdr:row>242</xdr:row>
      <xdr:rowOff>0</xdr:rowOff>
    </xdr:to>
    <xdr:cxnSp macro="">
      <xdr:nvCxnSpPr>
        <xdr:cNvPr id="21" name="Straight Connector 20"/>
        <xdr:cNvCxnSpPr/>
      </xdr:nvCxnSpPr>
      <xdr:spPr>
        <a:xfrm>
          <a:off x="0" y="5477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</xdr:row>
      <xdr:rowOff>0</xdr:rowOff>
    </xdr:from>
    <xdr:to>
      <xdr:col>11</xdr:col>
      <xdr:colOff>9525</xdr:colOff>
      <xdr:row>19</xdr:row>
      <xdr:rowOff>0</xdr:rowOff>
    </xdr:to>
    <xdr:cxnSp macro="">
      <xdr:nvCxnSpPr>
        <xdr:cNvPr id="69" name="Straight Connector 68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cxnSp macro="">
      <xdr:nvCxnSpPr>
        <xdr:cNvPr id="72" name="Straight Connector 71"/>
        <xdr:cNvCxnSpPr/>
      </xdr:nvCxnSpPr>
      <xdr:spPr>
        <a:xfrm>
          <a:off x="0" y="130302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97</xdr:row>
      <xdr:rowOff>0</xdr:rowOff>
    </xdr:from>
    <xdr:to>
      <xdr:col>11</xdr:col>
      <xdr:colOff>9525</xdr:colOff>
      <xdr:row>97</xdr:row>
      <xdr:rowOff>0</xdr:rowOff>
    </xdr:to>
    <xdr:cxnSp macro="">
      <xdr:nvCxnSpPr>
        <xdr:cNvPr id="75" name="Straight Connector 74"/>
        <xdr:cNvCxnSpPr/>
      </xdr:nvCxnSpPr>
      <xdr:spPr>
        <a:xfrm>
          <a:off x="0" y="218789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136</xdr:row>
      <xdr:rowOff>0</xdr:rowOff>
    </xdr:from>
    <xdr:to>
      <xdr:col>11</xdr:col>
      <xdr:colOff>9525</xdr:colOff>
      <xdr:row>136</xdr:row>
      <xdr:rowOff>0</xdr:rowOff>
    </xdr:to>
    <xdr:cxnSp macro="">
      <xdr:nvCxnSpPr>
        <xdr:cNvPr id="78" name="Straight Connector 77"/>
        <xdr:cNvCxnSpPr/>
      </xdr:nvCxnSpPr>
      <xdr:spPr>
        <a:xfrm>
          <a:off x="0" y="307276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175</xdr:row>
      <xdr:rowOff>0</xdr:rowOff>
    </xdr:from>
    <xdr:to>
      <xdr:col>11</xdr:col>
      <xdr:colOff>9525</xdr:colOff>
      <xdr:row>175</xdr:row>
      <xdr:rowOff>0</xdr:rowOff>
    </xdr:to>
    <xdr:cxnSp macro="">
      <xdr:nvCxnSpPr>
        <xdr:cNvPr id="80" name="Straight Connector 79"/>
        <xdr:cNvCxnSpPr/>
      </xdr:nvCxnSpPr>
      <xdr:spPr>
        <a:xfrm>
          <a:off x="0" y="395763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214</xdr:row>
      <xdr:rowOff>0</xdr:rowOff>
    </xdr:from>
    <xdr:to>
      <xdr:col>11</xdr:col>
      <xdr:colOff>9525</xdr:colOff>
      <xdr:row>214</xdr:row>
      <xdr:rowOff>0</xdr:rowOff>
    </xdr:to>
    <xdr:cxnSp macro="">
      <xdr:nvCxnSpPr>
        <xdr:cNvPr id="83" name="Straight Connector 82"/>
        <xdr:cNvCxnSpPr/>
      </xdr:nvCxnSpPr>
      <xdr:spPr>
        <a:xfrm>
          <a:off x="0" y="484251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253</xdr:row>
      <xdr:rowOff>0</xdr:rowOff>
    </xdr:from>
    <xdr:to>
      <xdr:col>11</xdr:col>
      <xdr:colOff>9525</xdr:colOff>
      <xdr:row>253</xdr:row>
      <xdr:rowOff>0</xdr:rowOff>
    </xdr:to>
    <xdr:cxnSp macro="">
      <xdr:nvCxnSpPr>
        <xdr:cNvPr id="86" name="Straight Connector 85"/>
        <xdr:cNvCxnSpPr/>
      </xdr:nvCxnSpPr>
      <xdr:spPr>
        <a:xfrm>
          <a:off x="0" y="5726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110</xdr:row>
      <xdr:rowOff>0</xdr:rowOff>
    </xdr:from>
    <xdr:to>
      <xdr:col>11</xdr:col>
      <xdr:colOff>9525</xdr:colOff>
      <xdr:row>110</xdr:row>
      <xdr:rowOff>0</xdr:rowOff>
    </xdr:to>
    <xdr:cxnSp macro="">
      <xdr:nvCxnSpPr>
        <xdr:cNvPr id="89" name="Straight Connector 88"/>
        <xdr:cNvCxnSpPr/>
      </xdr:nvCxnSpPr>
      <xdr:spPr>
        <a:xfrm>
          <a:off x="0" y="249174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91" name="Straight Connector 90"/>
        <xdr:cNvCxnSpPr/>
      </xdr:nvCxnSpPr>
      <xdr:spPr>
        <a:xfrm>
          <a:off x="0" y="72199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71</xdr:row>
      <xdr:rowOff>0</xdr:rowOff>
    </xdr:from>
    <xdr:to>
      <xdr:col>11</xdr:col>
      <xdr:colOff>9525</xdr:colOff>
      <xdr:row>71</xdr:row>
      <xdr:rowOff>0</xdr:rowOff>
    </xdr:to>
    <xdr:cxnSp macro="">
      <xdr:nvCxnSpPr>
        <xdr:cNvPr id="94" name="Straight Connector 93"/>
        <xdr:cNvCxnSpPr/>
      </xdr:nvCxnSpPr>
      <xdr:spPr>
        <a:xfrm>
          <a:off x="0" y="160686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149</xdr:row>
      <xdr:rowOff>0</xdr:rowOff>
    </xdr:from>
    <xdr:to>
      <xdr:col>11</xdr:col>
      <xdr:colOff>9525</xdr:colOff>
      <xdr:row>149</xdr:row>
      <xdr:rowOff>0</xdr:rowOff>
    </xdr:to>
    <xdr:cxnSp macro="">
      <xdr:nvCxnSpPr>
        <xdr:cNvPr id="96" name="Straight Connector 95"/>
        <xdr:cNvCxnSpPr/>
      </xdr:nvCxnSpPr>
      <xdr:spPr>
        <a:xfrm>
          <a:off x="0" y="33766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188</xdr:row>
      <xdr:rowOff>0</xdr:rowOff>
    </xdr:from>
    <xdr:to>
      <xdr:col>11</xdr:col>
      <xdr:colOff>9525</xdr:colOff>
      <xdr:row>188</xdr:row>
      <xdr:rowOff>0</xdr:rowOff>
    </xdr:to>
    <xdr:cxnSp macro="">
      <xdr:nvCxnSpPr>
        <xdr:cNvPr id="97" name="Straight Connector 96"/>
        <xdr:cNvCxnSpPr/>
      </xdr:nvCxnSpPr>
      <xdr:spPr>
        <a:xfrm>
          <a:off x="0" y="426148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227</xdr:row>
      <xdr:rowOff>0</xdr:rowOff>
    </xdr:from>
    <xdr:to>
      <xdr:col>11</xdr:col>
      <xdr:colOff>9525</xdr:colOff>
      <xdr:row>227</xdr:row>
      <xdr:rowOff>0</xdr:rowOff>
    </xdr:to>
    <xdr:cxnSp macro="">
      <xdr:nvCxnSpPr>
        <xdr:cNvPr id="98" name="Straight Connector 97"/>
        <xdr:cNvCxnSpPr/>
      </xdr:nvCxnSpPr>
      <xdr:spPr>
        <a:xfrm>
          <a:off x="0" y="51463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266</xdr:row>
      <xdr:rowOff>0</xdr:rowOff>
    </xdr:from>
    <xdr:to>
      <xdr:col>11</xdr:col>
      <xdr:colOff>9525</xdr:colOff>
      <xdr:row>266</xdr:row>
      <xdr:rowOff>0</xdr:rowOff>
    </xdr:to>
    <xdr:cxnSp macro="">
      <xdr:nvCxnSpPr>
        <xdr:cNvPr id="99" name="Straight Connector 98"/>
        <xdr:cNvCxnSpPr/>
      </xdr:nvCxnSpPr>
      <xdr:spPr>
        <a:xfrm>
          <a:off x="0" y="603027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5" name="Straight Connector 4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99" name="Straight Connector 98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105" name="Straight Connector 104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108" name="Straight Connector 107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46" name="Straight Connector 145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81" name="Straight Connector 18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82" name="Straight Connector 18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83" name="Straight Connector 18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84" name="Straight Connector 18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85" name="Straight Connector 18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86" name="Straight Connector 18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87" name="Straight Connector 18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28" name="Straight Connector 2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29" name="Straight Connector 2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30" name="Straight Connector 2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31" name="Straight Connector 3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32" name="Straight Connector 3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33" name="Straight Connector 3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22126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10</xdr:col>
      <xdr:colOff>0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238125</xdr:rowOff>
    </xdr:from>
    <xdr:to>
      <xdr:col>10</xdr:col>
      <xdr:colOff>0</xdr:colOff>
      <xdr:row>47</xdr:row>
      <xdr:rowOff>238125</xdr:rowOff>
    </xdr:to>
    <xdr:cxnSp macro="">
      <xdr:nvCxnSpPr>
        <xdr:cNvPr id="3" name="Straight Connector 2"/>
        <xdr:cNvCxnSpPr/>
      </xdr:nvCxnSpPr>
      <xdr:spPr>
        <a:xfrm>
          <a:off x="0" y="10487025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238125</xdr:rowOff>
    </xdr:from>
    <xdr:to>
      <xdr:col>10</xdr:col>
      <xdr:colOff>0</xdr:colOff>
      <xdr:row>47</xdr:row>
      <xdr:rowOff>238125</xdr:rowOff>
    </xdr:to>
    <xdr:cxnSp macro="">
      <xdr:nvCxnSpPr>
        <xdr:cNvPr id="4" name="Straight Connector 3"/>
        <xdr:cNvCxnSpPr/>
      </xdr:nvCxnSpPr>
      <xdr:spPr>
        <a:xfrm>
          <a:off x="0" y="10487025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238125</xdr:rowOff>
    </xdr:from>
    <xdr:to>
      <xdr:col>10</xdr:col>
      <xdr:colOff>0</xdr:colOff>
      <xdr:row>47</xdr:row>
      <xdr:rowOff>238125</xdr:rowOff>
    </xdr:to>
    <xdr:cxnSp macro="">
      <xdr:nvCxnSpPr>
        <xdr:cNvPr id="5" name="Straight Connector 4"/>
        <xdr:cNvCxnSpPr/>
      </xdr:nvCxnSpPr>
      <xdr:spPr>
        <a:xfrm>
          <a:off x="0" y="10487025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7" name="Straight Connector 6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81"/>
  <sheetViews>
    <sheetView tabSelected="1" zoomScaleNormal="100" zoomScaleSheetLayoutView="100" workbookViewId="0">
      <selection activeCell="B9" sqref="B9"/>
    </sheetView>
  </sheetViews>
  <sheetFormatPr defaultColWidth="9.140625"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15"/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55"/>
    </row>
    <row r="3" spans="1:15" ht="14.1" customHeight="1" thickTop="1" thickBot="1" x14ac:dyDescent="0.25">
      <c r="A3" s="142" t="s">
        <v>36</v>
      </c>
      <c r="B3" s="143"/>
      <c r="C3" s="143"/>
      <c r="D3" s="143"/>
      <c r="E3" s="92" t="s">
        <v>8</v>
      </c>
      <c r="F3" s="93"/>
      <c r="G3" s="93"/>
      <c r="H3" s="93"/>
      <c r="I3" s="93"/>
      <c r="J3" s="94"/>
      <c r="K3" s="89"/>
    </row>
    <row r="4" spans="1:15" ht="14.1" customHeight="1" thickTop="1" thickBot="1" x14ac:dyDescent="0.25">
      <c r="A4" s="142"/>
      <c r="B4" s="143"/>
      <c r="C4" s="143"/>
      <c r="D4" s="143"/>
      <c r="E4" s="95"/>
      <c r="F4" s="96"/>
      <c r="G4" s="96"/>
      <c r="H4" s="96"/>
      <c r="I4" s="96"/>
      <c r="J4" s="97"/>
      <c r="K4" s="90"/>
      <c r="O4" s="63"/>
    </row>
    <row r="5" spans="1:15" ht="13.5" customHeight="1" thickTop="1" thickBot="1" x14ac:dyDescent="0.25">
      <c r="A5" s="142"/>
      <c r="B5" s="143"/>
      <c r="C5" s="143"/>
      <c r="D5" s="143"/>
      <c r="E5" s="98"/>
      <c r="F5" s="99"/>
      <c r="G5" s="99"/>
      <c r="H5" s="99"/>
      <c r="I5" s="99"/>
      <c r="J5" s="100"/>
      <c r="K5" s="91"/>
      <c r="L5" s="57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6" t="s">
        <v>18</v>
      </c>
      <c r="K6" s="109" t="s">
        <v>83</v>
      </c>
      <c r="L6" s="57"/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10"/>
      <c r="L7" s="57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7"/>
      <c r="K8" s="111"/>
      <c r="L8" s="57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/>
      <c r="D9" s="23"/>
      <c r="E9" s="24"/>
      <c r="F9" s="25"/>
      <c r="G9" s="26"/>
      <c r="H9" s="27"/>
      <c r="I9" s="28" t="str">
        <f t="shared" ref="I9:I16" si="1">IF(F9+G9+H9=0,("N/A"),SUM(F9,G9,H9)/3)</f>
        <v>N/A</v>
      </c>
      <c r="J9" s="56" t="str">
        <f>IF(I9="N/A","N/A",I9-E9)</f>
        <v>N/A</v>
      </c>
      <c r="K9" s="61"/>
      <c r="L9" s="57"/>
      <c r="M9" s="17" t="s">
        <v>79</v>
      </c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56" t="str">
        <f t="shared" ref="J10:J11" si="2">IF(I10="N/A","N/A",I10-E10)</f>
        <v>N/A</v>
      </c>
      <c r="K10" s="61"/>
      <c r="L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56" t="str">
        <f t="shared" si="2"/>
        <v>N/A</v>
      </c>
      <c r="K11" s="61"/>
      <c r="L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56" t="str">
        <f t="shared" ref="J12" si="3">IF(I12="N/A","N/A",I12-E12)</f>
        <v>N/A</v>
      </c>
      <c r="K12" s="60"/>
    </row>
    <row r="13" spans="1:15" ht="21.95" customHeight="1" x14ac:dyDescent="0.25">
      <c r="A13" s="20" t="s">
        <v>9</v>
      </c>
      <c r="B13" s="21" t="str">
        <f t="shared" ca="1" si="0"/>
        <v/>
      </c>
      <c r="C13" s="22"/>
      <c r="D13" s="23"/>
      <c r="E13" s="24"/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60"/>
    </row>
    <row r="14" spans="1:15" ht="21.95" customHeight="1" x14ac:dyDescent="0.25">
      <c r="A14" s="20" t="s">
        <v>10</v>
      </c>
      <c r="B14" s="21" t="str">
        <f t="shared" ca="1" si="0"/>
        <v/>
      </c>
      <c r="C14" s="22"/>
      <c r="D14" s="23"/>
      <c r="E14" s="24"/>
      <c r="F14" s="25"/>
      <c r="G14" s="26"/>
      <c r="H14" s="27"/>
      <c r="I14" s="28" t="str">
        <f t="shared" si="1"/>
        <v>N/A</v>
      </c>
      <c r="J14" s="56" t="str">
        <f t="shared" ref="J14:J19" si="4">IF(I14="N/A","N/A",I14-E14)</f>
        <v>N/A</v>
      </c>
      <c r="K14" s="60"/>
    </row>
    <row r="15" spans="1:15" ht="21.95" customHeight="1" x14ac:dyDescent="0.25">
      <c r="A15" s="20" t="s">
        <v>11</v>
      </c>
      <c r="B15" s="21" t="str">
        <f t="shared" ca="1" si="0"/>
        <v/>
      </c>
      <c r="C15" s="22"/>
      <c r="D15" s="23"/>
      <c r="E15" s="24"/>
      <c r="F15" s="25"/>
      <c r="G15" s="26"/>
      <c r="H15" s="27"/>
      <c r="I15" s="28" t="str">
        <f t="shared" si="1"/>
        <v>N/A</v>
      </c>
      <c r="J15" s="56" t="str">
        <f t="shared" si="4"/>
        <v>N/A</v>
      </c>
      <c r="K15" s="60"/>
    </row>
    <row r="16" spans="1:15" ht="21.95" customHeight="1" x14ac:dyDescent="0.25">
      <c r="A16" s="20" t="s">
        <v>12</v>
      </c>
      <c r="B16" s="21" t="str">
        <f t="shared" ca="1" si="0"/>
        <v/>
      </c>
      <c r="C16" s="22"/>
      <c r="D16" s="23"/>
      <c r="E16" s="24"/>
      <c r="F16" s="25"/>
      <c r="G16" s="26"/>
      <c r="H16" s="27"/>
      <c r="I16" s="28" t="str">
        <f t="shared" si="1"/>
        <v>N/A</v>
      </c>
      <c r="J16" s="56" t="str">
        <f t="shared" si="4"/>
        <v>N/A</v>
      </c>
      <c r="K16" s="60"/>
    </row>
    <row r="17" spans="1:14" ht="21.95" customHeight="1" x14ac:dyDescent="0.25">
      <c r="A17" s="20" t="s">
        <v>13</v>
      </c>
      <c r="B17" s="21" t="str">
        <f t="shared" ca="1" si="0"/>
        <v/>
      </c>
      <c r="C17" s="22"/>
      <c r="D17" s="23"/>
      <c r="E17" s="24"/>
      <c r="F17" s="25"/>
      <c r="G17" s="26"/>
      <c r="H17" s="27"/>
      <c r="I17" s="28" t="str">
        <f t="shared" ref="I17:I18" si="5">IF(F17+G17+H17=0,("N/A"),SUM(F17,G17,H17)/3)</f>
        <v>N/A</v>
      </c>
      <c r="J17" s="56" t="str">
        <f t="shared" si="4"/>
        <v>N/A</v>
      </c>
      <c r="K17" s="60"/>
    </row>
    <row r="18" spans="1:14" ht="21.95" customHeight="1" x14ac:dyDescent="0.25">
      <c r="A18" s="20" t="s">
        <v>14</v>
      </c>
      <c r="B18" s="21" t="str">
        <f t="shared" ca="1" si="0"/>
        <v/>
      </c>
      <c r="C18" s="22"/>
      <c r="D18" s="23"/>
      <c r="E18" s="24"/>
      <c r="F18" s="25"/>
      <c r="G18" s="26"/>
      <c r="H18" s="27"/>
      <c r="I18" s="28" t="str">
        <f t="shared" si="5"/>
        <v>N/A</v>
      </c>
      <c r="J18" s="56" t="str">
        <f t="shared" si="4"/>
        <v>N/A</v>
      </c>
      <c r="K18" s="60"/>
      <c r="L18" s="29"/>
    </row>
    <row r="19" spans="1:14" ht="21.95" customHeight="1" x14ac:dyDescent="0.25">
      <c r="A19" s="20" t="s">
        <v>15</v>
      </c>
      <c r="B19" s="21" t="str">
        <f t="shared" ca="1" si="0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4"/>
        <v>N/A</v>
      </c>
      <c r="K19" s="83"/>
      <c r="L19" s="29"/>
    </row>
    <row r="20" spans="1:14" ht="21.95" customHeight="1" x14ac:dyDescent="0.25">
      <c r="A20" s="30" t="s">
        <v>16</v>
      </c>
      <c r="B20" s="21" t="str">
        <f t="shared" ca="1" si="0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ref="J20:J21" si="6">IF(I20="N/A","N/A",I20-E20)</f>
        <v>N/A</v>
      </c>
      <c r="K20" s="83"/>
    </row>
    <row r="21" spans="1:14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6"/>
        <v>N/A</v>
      </c>
      <c r="K21" s="83"/>
    </row>
    <row r="22" spans="1:14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2" si="7">IF(F22+G22+H22=0,("N/A"),SUM(F22,G22,H22)/3)</f>
        <v>N/A</v>
      </c>
      <c r="J22" s="56" t="str">
        <f>IF(I22="N/A","N/A",I22-E22)</f>
        <v>N/A</v>
      </c>
      <c r="K22" s="83"/>
      <c r="N22" s="32"/>
    </row>
    <row r="23" spans="1:14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7"/>
        <v>N/A</v>
      </c>
      <c r="J23" s="56" t="str">
        <f t="shared" ref="J23:J32" si="8">IF(I23="N/A","N/A",I23-E23)</f>
        <v>N/A</v>
      </c>
      <c r="K23" s="83"/>
    </row>
    <row r="24" spans="1:14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7"/>
        <v>N/A</v>
      </c>
      <c r="J24" s="56" t="str">
        <f t="shared" si="8"/>
        <v>N/A</v>
      </c>
      <c r="K24" s="83"/>
    </row>
    <row r="25" spans="1:14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7"/>
        <v>N/A</v>
      </c>
      <c r="J25" s="56" t="str">
        <f t="shared" si="8"/>
        <v>N/A</v>
      </c>
      <c r="K25" s="83"/>
    </row>
    <row r="26" spans="1:14" ht="21.95" customHeight="1" x14ac:dyDescent="0.25">
      <c r="A26" s="31" t="s">
        <v>22</v>
      </c>
      <c r="B26" s="21" t="str">
        <f t="shared" ca="1" si="0"/>
        <v/>
      </c>
      <c r="C26" s="22"/>
      <c r="D26" s="23"/>
      <c r="E26" s="24"/>
      <c r="F26" s="25"/>
      <c r="G26" s="26"/>
      <c r="H26" s="27"/>
      <c r="I26" s="28" t="str">
        <f t="shared" si="7"/>
        <v>N/A</v>
      </c>
      <c r="J26" s="56" t="str">
        <f t="shared" si="8"/>
        <v>N/A</v>
      </c>
      <c r="K26" s="60"/>
    </row>
    <row r="27" spans="1:14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7"/>
        <v>N/A</v>
      </c>
      <c r="J27" s="56" t="str">
        <f t="shared" si="8"/>
        <v>N/A</v>
      </c>
      <c r="K27" s="60"/>
    </row>
    <row r="28" spans="1:14" ht="21.95" customHeight="1" x14ac:dyDescent="0.25">
      <c r="A28" s="31" t="s">
        <v>24</v>
      </c>
      <c r="B28" s="21" t="str">
        <f t="shared" ca="1" si="0"/>
        <v/>
      </c>
      <c r="C28" s="22"/>
      <c r="D28" s="23"/>
      <c r="E28" s="24"/>
      <c r="F28" s="25"/>
      <c r="G28" s="26"/>
      <c r="H28" s="27"/>
      <c r="I28" s="28" t="str">
        <f t="shared" si="7"/>
        <v>N/A</v>
      </c>
      <c r="J28" s="56" t="str">
        <f t="shared" si="8"/>
        <v>N/A</v>
      </c>
      <c r="K28" s="60"/>
    </row>
    <row r="29" spans="1:14" ht="21.95" customHeight="1" x14ac:dyDescent="0.25">
      <c r="A29" s="87" t="s">
        <v>25</v>
      </c>
      <c r="B29" s="21" t="str">
        <f t="shared" ca="1" si="0"/>
        <v/>
      </c>
      <c r="C29" s="22"/>
      <c r="D29" s="23"/>
      <c r="E29" s="24"/>
      <c r="F29" s="25"/>
      <c r="G29" s="26"/>
      <c r="H29" s="27"/>
      <c r="I29" s="28" t="str">
        <f t="shared" si="7"/>
        <v>N/A</v>
      </c>
      <c r="J29" s="56" t="str">
        <f t="shared" si="8"/>
        <v>N/A</v>
      </c>
      <c r="K29" s="88"/>
    </row>
    <row r="30" spans="1:14" ht="21.95" customHeight="1" x14ac:dyDescent="0.25">
      <c r="A30" s="87" t="s">
        <v>77</v>
      </c>
      <c r="B30" s="21" t="str">
        <f t="shared" ca="1" si="0"/>
        <v/>
      </c>
      <c r="C30" s="22"/>
      <c r="D30" s="23"/>
      <c r="E30" s="24"/>
      <c r="F30" s="25"/>
      <c r="G30" s="26"/>
      <c r="H30" s="27"/>
      <c r="I30" s="28" t="str">
        <f t="shared" si="7"/>
        <v>N/A</v>
      </c>
      <c r="J30" s="56" t="str">
        <f t="shared" si="8"/>
        <v>N/A</v>
      </c>
      <c r="K30" s="88"/>
    </row>
    <row r="31" spans="1:14" ht="21.95" customHeight="1" x14ac:dyDescent="0.25">
      <c r="A31" s="87" t="s">
        <v>86</v>
      </c>
      <c r="B31" s="21" t="str">
        <f t="shared" ca="1" si="0"/>
        <v/>
      </c>
      <c r="C31" s="22"/>
      <c r="D31" s="23"/>
      <c r="E31" s="24"/>
      <c r="F31" s="25"/>
      <c r="G31" s="26"/>
      <c r="H31" s="27"/>
      <c r="I31" s="28" t="str">
        <f t="shared" si="7"/>
        <v>N/A</v>
      </c>
      <c r="J31" s="56" t="str">
        <f t="shared" si="8"/>
        <v>N/A</v>
      </c>
      <c r="K31" s="88"/>
    </row>
    <row r="32" spans="1:14" ht="21.95" customHeight="1" thickBot="1" x14ac:dyDescent="0.3">
      <c r="A32" s="33" t="s">
        <v>87</v>
      </c>
      <c r="B32" s="21" t="str">
        <f t="shared" ca="1" si="0"/>
        <v/>
      </c>
      <c r="C32" s="22"/>
      <c r="D32" s="23"/>
      <c r="E32" s="24"/>
      <c r="F32" s="25"/>
      <c r="G32" s="26"/>
      <c r="H32" s="27"/>
      <c r="I32" s="28" t="str">
        <f t="shared" si="7"/>
        <v>N/A</v>
      </c>
      <c r="J32" s="56" t="str">
        <f t="shared" si="8"/>
        <v>N/A</v>
      </c>
      <c r="K32" s="83"/>
    </row>
    <row r="33" spans="1:12" ht="18" customHeight="1" x14ac:dyDescent="0.2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55"/>
    </row>
    <row r="34" spans="1:12" ht="18" customHeight="1" x14ac:dyDescent="0.25">
      <c r="A34" s="104" t="s">
        <v>27</v>
      </c>
      <c r="B34" s="105"/>
      <c r="C34" s="105"/>
      <c r="D34" s="105"/>
      <c r="E34" s="105"/>
      <c r="F34" s="59" t="str">
        <f>IF(COUNT(J9:J19),AVERAGE(J9:J19),"N/A")</f>
        <v>N/A</v>
      </c>
      <c r="H34" s="58"/>
      <c r="I34" s="58"/>
      <c r="J34" s="53"/>
      <c r="K34" s="55"/>
    </row>
    <row r="35" spans="1:12" ht="18" customHeight="1" x14ac:dyDescent="0.25">
      <c r="A35" s="34"/>
      <c r="B35" s="35"/>
      <c r="C35" s="36"/>
      <c r="D35" s="36"/>
      <c r="E35" s="37"/>
      <c r="F35" s="38"/>
      <c r="G35" s="38"/>
      <c r="H35" s="38"/>
      <c r="I35" s="48"/>
      <c r="J35" s="52"/>
      <c r="K35" s="55"/>
    </row>
    <row r="36" spans="1:12" ht="18" customHeight="1" x14ac:dyDescent="0.25">
      <c r="A36" s="106" t="s">
        <v>28</v>
      </c>
      <c r="B36" s="107"/>
      <c r="C36" s="107"/>
      <c r="D36" s="107"/>
      <c r="E36" s="108"/>
      <c r="F36" s="51" t="str">
        <f>IF(COUNT(J20:J32),AVERAGE(J20:J32),"N/A")</f>
        <v>N/A</v>
      </c>
      <c r="G36" s="54"/>
      <c r="I36" s="53"/>
      <c r="J36" s="53"/>
      <c r="K36" s="55"/>
    </row>
    <row r="37" spans="1:12" ht="18" customHeight="1" x14ac:dyDescent="0.25">
      <c r="A37" s="39"/>
      <c r="B37" s="40"/>
      <c r="C37" s="37"/>
      <c r="D37" s="37"/>
      <c r="E37" s="37"/>
      <c r="F37" s="37"/>
      <c r="G37" s="38"/>
      <c r="H37" s="48"/>
      <c r="I37" s="48"/>
      <c r="J37" s="52"/>
      <c r="K37" s="55"/>
    </row>
    <row r="38" spans="1:12" ht="18" customHeight="1" x14ac:dyDescent="0.25">
      <c r="A38" s="106" t="s">
        <v>29</v>
      </c>
      <c r="B38" s="107"/>
      <c r="C38" s="107"/>
      <c r="D38" s="107"/>
      <c r="E38" s="108"/>
      <c r="F38" s="59" t="str">
        <f>IF(COUNT(J9:J32),AVERAGE(J9:J32),"N/A")</f>
        <v>N/A</v>
      </c>
      <c r="G38" s="58"/>
      <c r="H38" s="58"/>
      <c r="I38" s="58"/>
      <c r="J38" s="53"/>
      <c r="K38" s="55"/>
    </row>
    <row r="39" spans="1:12" ht="18" customHeight="1" x14ac:dyDescent="0.25">
      <c r="A39" s="39"/>
      <c r="B39" s="40"/>
      <c r="C39" s="38"/>
      <c r="D39" s="38"/>
      <c r="E39" s="38"/>
      <c r="F39" s="38"/>
      <c r="G39" s="38"/>
      <c r="H39" s="38"/>
      <c r="I39" s="38"/>
      <c r="J39" s="48"/>
      <c r="K39" s="55"/>
    </row>
    <row r="40" spans="1:12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3"/>
      <c r="L40" s="57"/>
    </row>
    <row r="41" spans="1:12" ht="22.5" customHeight="1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15"/>
      <c r="I41" s="15"/>
      <c r="J41" s="50"/>
      <c r="K41" s="16"/>
    </row>
    <row r="42" spans="1:12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55"/>
    </row>
    <row r="43" spans="1:12" ht="14.1" customHeight="1" thickTop="1" x14ac:dyDescent="0.2">
      <c r="A43" s="131" t="s">
        <v>36</v>
      </c>
      <c r="B43" s="132"/>
      <c r="C43" s="132"/>
      <c r="D43" s="133"/>
      <c r="E43" s="92" t="s">
        <v>8</v>
      </c>
      <c r="F43" s="93"/>
      <c r="G43" s="93"/>
      <c r="H43" s="93"/>
      <c r="I43" s="93"/>
      <c r="J43" s="94"/>
      <c r="K43" s="101"/>
    </row>
    <row r="44" spans="1:12" ht="14.1" customHeight="1" x14ac:dyDescent="0.2">
      <c r="A44" s="134"/>
      <c r="B44" s="135"/>
      <c r="C44" s="135"/>
      <c r="D44" s="136"/>
      <c r="E44" s="95"/>
      <c r="F44" s="96"/>
      <c r="G44" s="96"/>
      <c r="H44" s="96"/>
      <c r="I44" s="96"/>
      <c r="J44" s="97"/>
      <c r="K44" s="102"/>
    </row>
    <row r="45" spans="1:12" ht="14.1" customHeight="1" thickBot="1" x14ac:dyDescent="0.25">
      <c r="A45" s="137"/>
      <c r="B45" s="138"/>
      <c r="C45" s="138"/>
      <c r="D45" s="139"/>
      <c r="E45" s="98"/>
      <c r="F45" s="99"/>
      <c r="G45" s="99"/>
      <c r="H45" s="99"/>
      <c r="I45" s="99"/>
      <c r="J45" s="100"/>
      <c r="K45" s="103"/>
    </row>
    <row r="46" spans="1:12" ht="20.100000000000001" customHeight="1" thickTop="1" x14ac:dyDescent="0.2">
      <c r="A46" s="128" t="s">
        <v>3</v>
      </c>
      <c r="B46" s="141" t="s">
        <v>41</v>
      </c>
      <c r="C46" s="118" t="s">
        <v>26</v>
      </c>
      <c r="D46" s="140" t="s">
        <v>47</v>
      </c>
      <c r="E46" s="113" t="s">
        <v>0</v>
      </c>
      <c r="F46" s="113" t="s">
        <v>4</v>
      </c>
      <c r="G46" s="113" t="s">
        <v>5</v>
      </c>
      <c r="H46" s="113" t="s">
        <v>6</v>
      </c>
      <c r="I46" s="115" t="s">
        <v>7</v>
      </c>
      <c r="J46" s="125" t="s">
        <v>18</v>
      </c>
      <c r="K46" s="109" t="s">
        <v>83</v>
      </c>
    </row>
    <row r="47" spans="1:12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10"/>
    </row>
    <row r="48" spans="1:12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7"/>
      <c r="K48" s="111"/>
    </row>
    <row r="49" spans="1:11" ht="21.95" customHeight="1" x14ac:dyDescent="0.25">
      <c r="A49" s="20" t="s">
        <v>85</v>
      </c>
      <c r="B49" s="21" t="str">
        <f ca="1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9">IF(F49+G49+H49=0,("N/A"),SUM(F49,G49,H49)/3)</f>
        <v>N/A</v>
      </c>
      <c r="J49" s="56" t="str">
        <f>IF(I49="N/A","N/A",I49-E49)</f>
        <v>N/A</v>
      </c>
      <c r="K49" s="61"/>
    </row>
    <row r="50" spans="1:11" ht="21.95" customHeight="1" x14ac:dyDescent="0.25">
      <c r="A50" s="20" t="s">
        <v>84</v>
      </c>
      <c r="B50" s="21" t="str">
        <f t="shared" ref="B50:B51" ca="1" si="10">IF(H50&lt;&gt;"",IF(B50="",NOW(),B50),"")</f>
        <v/>
      </c>
      <c r="C50" s="22"/>
      <c r="D50" s="23"/>
      <c r="E50" s="24"/>
      <c r="F50" s="25"/>
      <c r="G50" s="26"/>
      <c r="H50" s="27"/>
      <c r="I50" s="28" t="str">
        <f t="shared" si="9"/>
        <v>N/A</v>
      </c>
      <c r="J50" s="56" t="str">
        <f t="shared" ref="J50:J51" si="11">IF(I50="N/A","N/A",I50-E50)</f>
        <v>N/A</v>
      </c>
      <c r="K50" s="61"/>
    </row>
    <row r="51" spans="1:11" ht="21.95" customHeight="1" x14ac:dyDescent="0.25">
      <c r="A51" s="20" t="s">
        <v>38</v>
      </c>
      <c r="B51" s="21" t="str">
        <f t="shared" ca="1" si="10"/>
        <v/>
      </c>
      <c r="C51" s="22"/>
      <c r="D51" s="23"/>
      <c r="E51" s="24"/>
      <c r="F51" s="25"/>
      <c r="G51" s="26"/>
      <c r="H51" s="27"/>
      <c r="I51" s="28" t="str">
        <f t="shared" si="9"/>
        <v>N/A</v>
      </c>
      <c r="J51" s="56" t="str">
        <f t="shared" si="11"/>
        <v>N/A</v>
      </c>
      <c r="K51" s="61"/>
    </row>
    <row r="52" spans="1:11" ht="21.95" customHeight="1" x14ac:dyDescent="0.25">
      <c r="A52" s="20" t="s">
        <v>1</v>
      </c>
      <c r="B52" s="21" t="str">
        <f t="shared" ref="B52:B72" ca="1" si="12">IF(H52&lt;&gt;"",IF(B52="",NOW(),B52),"")</f>
        <v/>
      </c>
      <c r="C52" s="22"/>
      <c r="D52" s="23"/>
      <c r="E52" s="24"/>
      <c r="F52" s="25"/>
      <c r="G52" s="26"/>
      <c r="H52" s="27"/>
      <c r="I52" s="28" t="str">
        <f t="shared" si="9"/>
        <v>N/A</v>
      </c>
      <c r="J52" s="56" t="str">
        <f t="shared" ref="J52" si="13">IF(I52="N/A","N/A",I52-E52)</f>
        <v>N/A</v>
      </c>
      <c r="K52" s="60"/>
    </row>
    <row r="53" spans="1:11" ht="21.95" customHeight="1" x14ac:dyDescent="0.25">
      <c r="A53" s="20" t="s">
        <v>9</v>
      </c>
      <c r="B53" s="21" t="str">
        <f t="shared" ca="1" si="12"/>
        <v/>
      </c>
      <c r="C53" s="22"/>
      <c r="D53" s="23"/>
      <c r="E53" s="24"/>
      <c r="F53" s="25"/>
      <c r="G53" s="26"/>
      <c r="H53" s="27"/>
      <c r="I53" s="28" t="str">
        <f t="shared" si="9"/>
        <v>N/A</v>
      </c>
      <c r="J53" s="56" t="str">
        <f>IF(I53="N/A","N/A",I53-E53)</f>
        <v>N/A</v>
      </c>
      <c r="K53" s="60"/>
    </row>
    <row r="54" spans="1:11" ht="21.95" customHeight="1" x14ac:dyDescent="0.25">
      <c r="A54" s="20" t="s">
        <v>10</v>
      </c>
      <c r="B54" s="21" t="str">
        <f t="shared" ca="1" si="12"/>
        <v/>
      </c>
      <c r="C54" s="22"/>
      <c r="D54" s="23"/>
      <c r="E54" s="24"/>
      <c r="F54" s="25"/>
      <c r="G54" s="26"/>
      <c r="H54" s="27"/>
      <c r="I54" s="28" t="str">
        <f t="shared" si="9"/>
        <v>N/A</v>
      </c>
      <c r="J54" s="56" t="str">
        <f t="shared" ref="J54:J61" si="14">IF(I54="N/A","N/A",I54-E54)</f>
        <v>N/A</v>
      </c>
      <c r="K54" s="60"/>
    </row>
    <row r="55" spans="1:11" ht="21.95" customHeight="1" x14ac:dyDescent="0.25">
      <c r="A55" s="20" t="s">
        <v>11</v>
      </c>
      <c r="B55" s="21" t="str">
        <f t="shared" ca="1" si="12"/>
        <v/>
      </c>
      <c r="C55" s="22"/>
      <c r="D55" s="23"/>
      <c r="E55" s="24"/>
      <c r="F55" s="25"/>
      <c r="G55" s="26"/>
      <c r="H55" s="27"/>
      <c r="I55" s="28" t="str">
        <f t="shared" si="9"/>
        <v>N/A</v>
      </c>
      <c r="J55" s="56" t="str">
        <f t="shared" si="14"/>
        <v>N/A</v>
      </c>
      <c r="K55" s="60"/>
    </row>
    <row r="56" spans="1:11" ht="21.95" customHeight="1" x14ac:dyDescent="0.25">
      <c r="A56" s="20" t="s">
        <v>12</v>
      </c>
      <c r="B56" s="21" t="str">
        <f t="shared" ca="1" si="12"/>
        <v/>
      </c>
      <c r="C56" s="22"/>
      <c r="D56" s="23"/>
      <c r="E56" s="24"/>
      <c r="F56" s="25"/>
      <c r="G56" s="26"/>
      <c r="H56" s="27"/>
      <c r="I56" s="28" t="str">
        <f t="shared" si="9"/>
        <v>N/A</v>
      </c>
      <c r="J56" s="56" t="str">
        <f t="shared" si="14"/>
        <v>N/A</v>
      </c>
      <c r="K56" s="60"/>
    </row>
    <row r="57" spans="1:11" ht="21.95" customHeight="1" x14ac:dyDescent="0.25">
      <c r="A57" s="20" t="s">
        <v>13</v>
      </c>
      <c r="B57" s="21" t="str">
        <f t="shared" ca="1" si="12"/>
        <v/>
      </c>
      <c r="C57" s="22"/>
      <c r="D57" s="23"/>
      <c r="E57" s="24"/>
      <c r="F57" s="25"/>
      <c r="G57" s="26"/>
      <c r="H57" s="27"/>
      <c r="I57" s="28" t="str">
        <f t="shared" si="9"/>
        <v>N/A</v>
      </c>
      <c r="J57" s="56" t="str">
        <f t="shared" si="14"/>
        <v>N/A</v>
      </c>
      <c r="K57" s="60"/>
    </row>
    <row r="58" spans="1:11" ht="21.95" customHeight="1" x14ac:dyDescent="0.25">
      <c r="A58" s="20" t="s">
        <v>14</v>
      </c>
      <c r="B58" s="21" t="str">
        <f t="shared" ca="1" si="12"/>
        <v/>
      </c>
      <c r="C58" s="22"/>
      <c r="D58" s="23"/>
      <c r="E58" s="24"/>
      <c r="F58" s="25"/>
      <c r="G58" s="26"/>
      <c r="H58" s="27"/>
      <c r="I58" s="28" t="str">
        <f t="shared" si="9"/>
        <v>N/A</v>
      </c>
      <c r="J58" s="56" t="str">
        <f t="shared" si="14"/>
        <v>N/A</v>
      </c>
      <c r="K58" s="60"/>
    </row>
    <row r="59" spans="1:11" ht="21.95" customHeight="1" x14ac:dyDescent="0.25">
      <c r="A59" s="20" t="s">
        <v>15</v>
      </c>
      <c r="B59" s="21" t="str">
        <f t="shared" ca="1" si="12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14"/>
        <v>N/A</v>
      </c>
      <c r="K59" s="83"/>
    </row>
    <row r="60" spans="1:11" ht="21.95" customHeight="1" x14ac:dyDescent="0.25">
      <c r="A60" s="30" t="s">
        <v>16</v>
      </c>
      <c r="B60" s="21" t="str">
        <f t="shared" ca="1" si="12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14"/>
        <v>N/A</v>
      </c>
      <c r="K60" s="83"/>
    </row>
    <row r="61" spans="1:11" ht="21.95" customHeight="1" x14ac:dyDescent="0.25">
      <c r="A61" s="31" t="s">
        <v>39</v>
      </c>
      <c r="B61" s="21" t="str">
        <f t="shared" ca="1" si="12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14"/>
        <v>N/A</v>
      </c>
      <c r="K61" s="83"/>
    </row>
    <row r="62" spans="1:11" ht="21.95" customHeight="1" x14ac:dyDescent="0.25">
      <c r="A62" s="31" t="s">
        <v>19</v>
      </c>
      <c r="B62" s="21" t="str">
        <f t="shared" ca="1" si="12"/>
        <v/>
      </c>
      <c r="C62" s="22"/>
      <c r="D62" s="23"/>
      <c r="E62" s="24"/>
      <c r="F62" s="25"/>
      <c r="G62" s="26"/>
      <c r="H62" s="27"/>
      <c r="I62" s="28" t="str">
        <f t="shared" ref="I62:I72" si="15">IF(F62+G62+H62=0,("N/A"),SUM(F62,G62,H62)/3)</f>
        <v>N/A</v>
      </c>
      <c r="J62" s="56" t="str">
        <f>IF(I62="N/A","N/A",I62-E62)</f>
        <v>N/A</v>
      </c>
      <c r="K62" s="83"/>
    </row>
    <row r="63" spans="1:11" ht="21.95" customHeight="1" x14ac:dyDescent="0.25">
      <c r="A63" s="31" t="s">
        <v>20</v>
      </c>
      <c r="B63" s="21" t="str">
        <f t="shared" ca="1" si="12"/>
        <v/>
      </c>
      <c r="C63" s="22"/>
      <c r="D63" s="23"/>
      <c r="E63" s="24"/>
      <c r="F63" s="25"/>
      <c r="G63" s="26"/>
      <c r="H63" s="27"/>
      <c r="I63" s="28" t="str">
        <f t="shared" si="15"/>
        <v>N/A</v>
      </c>
      <c r="J63" s="56" t="str">
        <f t="shared" ref="J63:J72" si="16">IF(I63="N/A","N/A",I63-E63)</f>
        <v>N/A</v>
      </c>
      <c r="K63" s="83"/>
    </row>
    <row r="64" spans="1:11" ht="21.95" customHeight="1" x14ac:dyDescent="0.25">
      <c r="A64" s="31" t="s">
        <v>21</v>
      </c>
      <c r="B64" s="21" t="str">
        <f t="shared" ca="1" si="12"/>
        <v/>
      </c>
      <c r="C64" s="22"/>
      <c r="D64" s="23"/>
      <c r="E64" s="24"/>
      <c r="F64" s="25"/>
      <c r="G64" s="26"/>
      <c r="H64" s="27"/>
      <c r="I64" s="28" t="str">
        <f t="shared" si="15"/>
        <v>N/A</v>
      </c>
      <c r="J64" s="56" t="str">
        <f t="shared" si="16"/>
        <v>N/A</v>
      </c>
      <c r="K64" s="83"/>
    </row>
    <row r="65" spans="1:12" ht="21.95" customHeight="1" x14ac:dyDescent="0.25">
      <c r="A65" s="31" t="s">
        <v>2</v>
      </c>
      <c r="B65" s="21" t="str">
        <f t="shared" ca="1" si="12"/>
        <v/>
      </c>
      <c r="C65" s="22"/>
      <c r="D65" s="23"/>
      <c r="E65" s="24"/>
      <c r="F65" s="25"/>
      <c r="G65" s="26"/>
      <c r="H65" s="27"/>
      <c r="I65" s="28" t="str">
        <f t="shared" si="15"/>
        <v>N/A</v>
      </c>
      <c r="J65" s="56" t="str">
        <f t="shared" si="16"/>
        <v>N/A</v>
      </c>
      <c r="K65" s="83"/>
    </row>
    <row r="66" spans="1:12" ht="21.95" customHeight="1" x14ac:dyDescent="0.25">
      <c r="A66" s="31" t="s">
        <v>22</v>
      </c>
      <c r="B66" s="21" t="str">
        <f t="shared" ca="1" si="12"/>
        <v/>
      </c>
      <c r="C66" s="22"/>
      <c r="D66" s="23"/>
      <c r="E66" s="24"/>
      <c r="F66" s="25"/>
      <c r="G66" s="26"/>
      <c r="H66" s="27"/>
      <c r="I66" s="28" t="str">
        <f t="shared" si="15"/>
        <v>N/A</v>
      </c>
      <c r="J66" s="56" t="str">
        <f t="shared" si="16"/>
        <v>N/A</v>
      </c>
      <c r="K66" s="60"/>
    </row>
    <row r="67" spans="1:12" ht="21.95" customHeight="1" x14ac:dyDescent="0.25">
      <c r="A67" s="31" t="s">
        <v>23</v>
      </c>
      <c r="B67" s="21" t="str">
        <f t="shared" ca="1" si="12"/>
        <v/>
      </c>
      <c r="C67" s="22"/>
      <c r="D67" s="23"/>
      <c r="E67" s="24"/>
      <c r="F67" s="25"/>
      <c r="G67" s="26"/>
      <c r="H67" s="27"/>
      <c r="I67" s="28" t="str">
        <f t="shared" si="15"/>
        <v>N/A</v>
      </c>
      <c r="J67" s="56" t="str">
        <f t="shared" si="16"/>
        <v>N/A</v>
      </c>
      <c r="K67" s="60"/>
    </row>
    <row r="68" spans="1:12" ht="21.95" customHeight="1" x14ac:dyDescent="0.25">
      <c r="A68" s="31" t="s">
        <v>24</v>
      </c>
      <c r="B68" s="21" t="str">
        <f t="shared" ca="1" si="12"/>
        <v/>
      </c>
      <c r="C68" s="22"/>
      <c r="D68" s="23"/>
      <c r="E68" s="24"/>
      <c r="F68" s="25"/>
      <c r="G68" s="26"/>
      <c r="H68" s="27"/>
      <c r="I68" s="28" t="str">
        <f t="shared" si="15"/>
        <v>N/A</v>
      </c>
      <c r="J68" s="56" t="str">
        <f t="shared" si="16"/>
        <v>N/A</v>
      </c>
      <c r="K68" s="60"/>
    </row>
    <row r="69" spans="1:12" ht="21.95" customHeight="1" x14ac:dyDescent="0.25">
      <c r="A69" s="87" t="s">
        <v>25</v>
      </c>
      <c r="B69" s="21" t="str">
        <f t="shared" ca="1" si="12"/>
        <v/>
      </c>
      <c r="C69" s="22"/>
      <c r="D69" s="23"/>
      <c r="E69" s="24"/>
      <c r="F69" s="25"/>
      <c r="G69" s="26"/>
      <c r="H69" s="27"/>
      <c r="I69" s="28" t="str">
        <f t="shared" si="15"/>
        <v>N/A</v>
      </c>
      <c r="J69" s="56" t="str">
        <f t="shared" si="16"/>
        <v>N/A</v>
      </c>
      <c r="K69" s="88"/>
    </row>
    <row r="70" spans="1:12" ht="21.95" customHeight="1" x14ac:dyDescent="0.25">
      <c r="A70" s="87" t="s">
        <v>77</v>
      </c>
      <c r="B70" s="21" t="str">
        <f t="shared" ca="1" si="12"/>
        <v/>
      </c>
      <c r="C70" s="22"/>
      <c r="D70" s="23"/>
      <c r="E70" s="24"/>
      <c r="F70" s="25"/>
      <c r="G70" s="26"/>
      <c r="H70" s="27"/>
      <c r="I70" s="28" t="str">
        <f t="shared" si="15"/>
        <v>N/A</v>
      </c>
      <c r="J70" s="56" t="str">
        <f t="shared" si="16"/>
        <v>N/A</v>
      </c>
      <c r="K70" s="88"/>
    </row>
    <row r="71" spans="1:12" ht="21.95" customHeight="1" x14ac:dyDescent="0.25">
      <c r="A71" s="87" t="s">
        <v>86</v>
      </c>
      <c r="B71" s="21" t="str">
        <f t="shared" ca="1" si="12"/>
        <v/>
      </c>
      <c r="C71" s="22"/>
      <c r="D71" s="23"/>
      <c r="E71" s="24"/>
      <c r="F71" s="25"/>
      <c r="G71" s="26"/>
      <c r="H71" s="27"/>
      <c r="I71" s="28" t="str">
        <f t="shared" si="15"/>
        <v>N/A</v>
      </c>
      <c r="J71" s="56" t="str">
        <f t="shared" si="16"/>
        <v>N/A</v>
      </c>
      <c r="K71" s="88"/>
    </row>
    <row r="72" spans="1:12" ht="21.95" customHeight="1" thickBot="1" x14ac:dyDescent="0.3">
      <c r="A72" s="33" t="s">
        <v>87</v>
      </c>
      <c r="B72" s="21" t="str">
        <f t="shared" ca="1" si="12"/>
        <v/>
      </c>
      <c r="C72" s="22"/>
      <c r="D72" s="23"/>
      <c r="E72" s="24"/>
      <c r="F72" s="25"/>
      <c r="G72" s="26"/>
      <c r="H72" s="27"/>
      <c r="I72" s="28" t="str">
        <f t="shared" si="15"/>
        <v>N/A</v>
      </c>
      <c r="J72" s="56" t="str">
        <f t="shared" si="16"/>
        <v>N/A</v>
      </c>
      <c r="K72" s="83"/>
    </row>
    <row r="73" spans="1:12" ht="18" customHeight="1" x14ac:dyDescent="0.2">
      <c r="A73" s="18"/>
      <c r="B73" s="19"/>
      <c r="C73" s="19"/>
      <c r="D73" s="19"/>
      <c r="E73" s="19"/>
      <c r="F73" s="19"/>
      <c r="G73" s="19"/>
      <c r="H73" s="19"/>
      <c r="I73" s="19"/>
      <c r="J73" s="19"/>
      <c r="K73" s="55"/>
    </row>
    <row r="74" spans="1:12" ht="18" customHeight="1" x14ac:dyDescent="0.25">
      <c r="A74" s="104" t="s">
        <v>27</v>
      </c>
      <c r="B74" s="105"/>
      <c r="C74" s="105"/>
      <c r="D74" s="105"/>
      <c r="E74" s="105"/>
      <c r="F74" s="59" t="str">
        <f>IF(COUNT($J$49:$J$59),AVERAGE($J$49:$J$59),"N/A")</f>
        <v>N/A</v>
      </c>
      <c r="H74" s="58"/>
      <c r="I74" s="58"/>
      <c r="J74" s="53"/>
      <c r="K74" s="55"/>
    </row>
    <row r="75" spans="1:12" ht="18" customHeight="1" x14ac:dyDescent="0.25">
      <c r="A75" s="34"/>
      <c r="B75" s="35"/>
      <c r="C75" s="36"/>
      <c r="D75" s="36"/>
      <c r="E75" s="37"/>
      <c r="F75" s="48"/>
      <c r="G75" s="48"/>
      <c r="H75" s="48"/>
      <c r="I75" s="48"/>
      <c r="J75" s="52"/>
      <c r="K75" s="55"/>
    </row>
    <row r="76" spans="1:12" ht="18" customHeight="1" x14ac:dyDescent="0.25">
      <c r="A76" s="106" t="s">
        <v>28</v>
      </c>
      <c r="B76" s="107"/>
      <c r="C76" s="107"/>
      <c r="D76" s="107"/>
      <c r="E76" s="108"/>
      <c r="F76" s="51" t="str">
        <f>IF(COUNT($J$60:$J72),AVERAGE($J$60:$J$72),"N/A")</f>
        <v>N/A</v>
      </c>
      <c r="G76" s="54"/>
      <c r="I76" s="53"/>
      <c r="J76" s="53"/>
      <c r="K76" s="55"/>
    </row>
    <row r="77" spans="1:12" ht="18" customHeight="1" x14ac:dyDescent="0.25">
      <c r="A77" s="39"/>
      <c r="B77" s="40"/>
      <c r="C77" s="37"/>
      <c r="D77" s="37"/>
      <c r="E77" s="37"/>
      <c r="F77" s="37"/>
      <c r="G77" s="48"/>
      <c r="H77" s="48"/>
      <c r="I77" s="48"/>
      <c r="J77" s="52"/>
      <c r="K77" s="55"/>
    </row>
    <row r="78" spans="1:12" ht="18" customHeight="1" x14ac:dyDescent="0.25">
      <c r="A78" s="106" t="s">
        <v>29</v>
      </c>
      <c r="B78" s="107"/>
      <c r="C78" s="107"/>
      <c r="D78" s="107"/>
      <c r="E78" s="108"/>
      <c r="F78" s="59" t="str">
        <f>IF(COUNT($J$49:$J$72),AVERAGE($J$49:$J$72),"N/A")</f>
        <v>N/A</v>
      </c>
      <c r="G78" s="58"/>
      <c r="H78" s="58"/>
      <c r="I78" s="58"/>
      <c r="J78" s="53"/>
      <c r="K78" s="55"/>
    </row>
    <row r="79" spans="1:12" ht="18" customHeight="1" x14ac:dyDescent="0.25">
      <c r="A79" s="39"/>
      <c r="B79" s="40"/>
      <c r="C79" s="48"/>
      <c r="D79" s="48"/>
      <c r="E79" s="48"/>
      <c r="F79" s="48"/>
      <c r="G79" s="48"/>
      <c r="H79" s="48"/>
      <c r="I79" s="48"/>
      <c r="J79" s="48"/>
      <c r="K79" s="55"/>
    </row>
    <row r="80" spans="1:12" ht="18" customHeight="1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3"/>
      <c r="L80" s="57"/>
    </row>
    <row r="81" spans="1:11" ht="22.5" customHeight="1" thickTop="1" x14ac:dyDescent="0.3">
      <c r="A81" s="13" t="s">
        <v>17</v>
      </c>
      <c r="B81" s="14"/>
      <c r="C81" s="120"/>
      <c r="D81" s="121"/>
      <c r="E81" s="122"/>
      <c r="F81" s="123" t="s">
        <v>32</v>
      </c>
      <c r="G81" s="124"/>
      <c r="H81" s="15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55"/>
    </row>
    <row r="83" spans="1:11" ht="14.1" customHeight="1" thickTop="1" x14ac:dyDescent="0.2">
      <c r="A83" s="131" t="s">
        <v>36</v>
      </c>
      <c r="B83" s="132"/>
      <c r="C83" s="132"/>
      <c r="D83" s="133"/>
      <c r="E83" s="92" t="s">
        <v>8</v>
      </c>
      <c r="F83" s="93"/>
      <c r="G83" s="93"/>
      <c r="H83" s="93"/>
      <c r="I83" s="93"/>
      <c r="J83" s="94"/>
      <c r="K83" s="101"/>
    </row>
    <row r="84" spans="1:11" ht="14.1" customHeight="1" x14ac:dyDescent="0.2">
      <c r="A84" s="134"/>
      <c r="B84" s="135"/>
      <c r="C84" s="135"/>
      <c r="D84" s="136"/>
      <c r="E84" s="95"/>
      <c r="F84" s="96"/>
      <c r="G84" s="96"/>
      <c r="H84" s="96"/>
      <c r="I84" s="96"/>
      <c r="J84" s="97"/>
      <c r="K84" s="102"/>
    </row>
    <row r="85" spans="1:11" ht="14.1" customHeight="1" thickBot="1" x14ac:dyDescent="0.25">
      <c r="A85" s="137"/>
      <c r="B85" s="138"/>
      <c r="C85" s="138"/>
      <c r="D85" s="139"/>
      <c r="E85" s="98"/>
      <c r="F85" s="99"/>
      <c r="G85" s="99"/>
      <c r="H85" s="99"/>
      <c r="I85" s="99"/>
      <c r="J85" s="100"/>
      <c r="K85" s="103"/>
    </row>
    <row r="86" spans="1:11" ht="20.100000000000001" customHeight="1" thickTop="1" x14ac:dyDescent="0.2">
      <c r="A86" s="128" t="s">
        <v>3</v>
      </c>
      <c r="B86" s="141" t="s">
        <v>41</v>
      </c>
      <c r="C86" s="118" t="s">
        <v>26</v>
      </c>
      <c r="D86" s="140" t="s">
        <v>47</v>
      </c>
      <c r="E86" s="113" t="s">
        <v>0</v>
      </c>
      <c r="F86" s="113" t="s">
        <v>4</v>
      </c>
      <c r="G86" s="113" t="s">
        <v>5</v>
      </c>
      <c r="H86" s="113" t="s">
        <v>6</v>
      </c>
      <c r="I86" s="115" t="s">
        <v>7</v>
      </c>
      <c r="J86" s="125" t="s">
        <v>18</v>
      </c>
      <c r="K86" s="109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10"/>
    </row>
    <row r="88" spans="1:11" ht="20.100000000000001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7"/>
      <c r="K88" s="111"/>
    </row>
    <row r="89" spans="1:11" ht="21.95" customHeight="1" x14ac:dyDescent="0.25">
      <c r="A89" s="20" t="s">
        <v>85</v>
      </c>
      <c r="B89" s="21" t="str">
        <f ca="1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7">IF(F89+G89+H89=0,("N/A"),SUM(F89,G89,H89)/3)</f>
        <v>N/A</v>
      </c>
      <c r="J89" s="56" t="str">
        <f>IF(I89="N/A","N/A",I89-E89)</f>
        <v>N/A</v>
      </c>
      <c r="K89" s="61"/>
    </row>
    <row r="90" spans="1:11" ht="21.95" customHeight="1" x14ac:dyDescent="0.25">
      <c r="A90" s="20" t="s">
        <v>84</v>
      </c>
      <c r="B90" s="21" t="str">
        <f t="shared" ref="B90:B91" ca="1" si="18">IF(H90&lt;&gt;"",IF(B90="",NOW(),B90),"")</f>
        <v/>
      </c>
      <c r="C90" s="22"/>
      <c r="D90" s="23"/>
      <c r="E90" s="24"/>
      <c r="F90" s="25"/>
      <c r="G90" s="26"/>
      <c r="H90" s="27"/>
      <c r="I90" s="28" t="str">
        <f t="shared" si="17"/>
        <v>N/A</v>
      </c>
      <c r="J90" s="56" t="str">
        <f t="shared" ref="J90:J91" si="19">IF(I90="N/A","N/A",I90-E90)</f>
        <v>N/A</v>
      </c>
      <c r="K90" s="61"/>
    </row>
    <row r="91" spans="1:11" ht="21.95" customHeight="1" x14ac:dyDescent="0.25">
      <c r="A91" s="20" t="s">
        <v>38</v>
      </c>
      <c r="B91" s="21" t="str">
        <f t="shared" ca="1" si="18"/>
        <v/>
      </c>
      <c r="C91" s="22"/>
      <c r="D91" s="23"/>
      <c r="E91" s="24"/>
      <c r="F91" s="25"/>
      <c r="G91" s="26"/>
      <c r="H91" s="27"/>
      <c r="I91" s="28" t="str">
        <f t="shared" si="17"/>
        <v>N/A</v>
      </c>
      <c r="J91" s="56" t="str">
        <f t="shared" si="19"/>
        <v>N/A</v>
      </c>
      <c r="K91" s="61"/>
    </row>
    <row r="92" spans="1:11" ht="21.95" customHeight="1" x14ac:dyDescent="0.25">
      <c r="A92" s="20" t="s">
        <v>1</v>
      </c>
      <c r="B92" s="21" t="str">
        <f t="shared" ref="B92:B112" ca="1" si="20">IF(H92&lt;&gt;"",IF(B92="",NOW(),B92),"")</f>
        <v/>
      </c>
      <c r="C92" s="22"/>
      <c r="D92" s="23"/>
      <c r="E92" s="24"/>
      <c r="F92" s="25"/>
      <c r="G92" s="26"/>
      <c r="H92" s="27"/>
      <c r="I92" s="28" t="str">
        <f t="shared" si="17"/>
        <v>N/A</v>
      </c>
      <c r="J92" s="56" t="str">
        <f t="shared" ref="J92" si="21">IF(I92="N/A","N/A",I92-E92)</f>
        <v>N/A</v>
      </c>
      <c r="K92" s="60"/>
    </row>
    <row r="93" spans="1:11" ht="21.95" customHeight="1" x14ac:dyDescent="0.25">
      <c r="A93" s="20" t="s">
        <v>9</v>
      </c>
      <c r="B93" s="21" t="str">
        <f t="shared" ca="1" si="20"/>
        <v/>
      </c>
      <c r="C93" s="22"/>
      <c r="D93" s="23"/>
      <c r="E93" s="24"/>
      <c r="F93" s="25"/>
      <c r="G93" s="26"/>
      <c r="H93" s="27"/>
      <c r="I93" s="28" t="str">
        <f t="shared" si="17"/>
        <v>N/A</v>
      </c>
      <c r="J93" s="56" t="str">
        <f>IF(I93="N/A","N/A",I93-E93)</f>
        <v>N/A</v>
      </c>
      <c r="K93" s="60"/>
    </row>
    <row r="94" spans="1:11" ht="21.95" customHeight="1" x14ac:dyDescent="0.25">
      <c r="A94" s="20" t="s">
        <v>10</v>
      </c>
      <c r="B94" s="21" t="str">
        <f t="shared" ca="1" si="20"/>
        <v/>
      </c>
      <c r="C94" s="22"/>
      <c r="D94" s="23"/>
      <c r="E94" s="24"/>
      <c r="F94" s="25"/>
      <c r="G94" s="26"/>
      <c r="H94" s="27"/>
      <c r="I94" s="28" t="str">
        <f t="shared" si="17"/>
        <v>N/A</v>
      </c>
      <c r="J94" s="56" t="str">
        <f t="shared" ref="J94:J101" si="22">IF(I94="N/A","N/A",I94-E94)</f>
        <v>N/A</v>
      </c>
      <c r="K94" s="60"/>
    </row>
    <row r="95" spans="1:11" ht="21.95" customHeight="1" x14ac:dyDescent="0.25">
      <c r="A95" s="20" t="s">
        <v>11</v>
      </c>
      <c r="B95" s="21" t="str">
        <f t="shared" ca="1" si="20"/>
        <v/>
      </c>
      <c r="C95" s="22"/>
      <c r="D95" s="23"/>
      <c r="E95" s="24"/>
      <c r="F95" s="25"/>
      <c r="G95" s="26"/>
      <c r="H95" s="27"/>
      <c r="I95" s="28" t="str">
        <f t="shared" si="17"/>
        <v>N/A</v>
      </c>
      <c r="J95" s="56" t="str">
        <f t="shared" si="22"/>
        <v>N/A</v>
      </c>
      <c r="K95" s="60"/>
    </row>
    <row r="96" spans="1:11" ht="21.95" customHeight="1" x14ac:dyDescent="0.25">
      <c r="A96" s="20" t="s">
        <v>12</v>
      </c>
      <c r="B96" s="21" t="str">
        <f t="shared" ca="1" si="20"/>
        <v/>
      </c>
      <c r="C96" s="22"/>
      <c r="D96" s="23"/>
      <c r="E96" s="24"/>
      <c r="F96" s="25"/>
      <c r="G96" s="26"/>
      <c r="H96" s="27"/>
      <c r="I96" s="28" t="str">
        <f t="shared" si="17"/>
        <v>N/A</v>
      </c>
      <c r="J96" s="56" t="str">
        <f t="shared" si="22"/>
        <v>N/A</v>
      </c>
      <c r="K96" s="60"/>
    </row>
    <row r="97" spans="1:11" ht="21.95" customHeight="1" x14ac:dyDescent="0.25">
      <c r="A97" s="20" t="s">
        <v>13</v>
      </c>
      <c r="B97" s="21" t="str">
        <f t="shared" ca="1" si="20"/>
        <v/>
      </c>
      <c r="C97" s="22"/>
      <c r="D97" s="23"/>
      <c r="E97" s="24"/>
      <c r="F97" s="25"/>
      <c r="G97" s="26"/>
      <c r="H97" s="27"/>
      <c r="I97" s="28" t="str">
        <f t="shared" si="17"/>
        <v>N/A</v>
      </c>
      <c r="J97" s="56" t="str">
        <f t="shared" si="22"/>
        <v>N/A</v>
      </c>
      <c r="K97" s="60"/>
    </row>
    <row r="98" spans="1:11" ht="21.95" customHeight="1" x14ac:dyDescent="0.25">
      <c r="A98" s="20" t="s">
        <v>14</v>
      </c>
      <c r="B98" s="21" t="str">
        <f t="shared" ca="1" si="20"/>
        <v/>
      </c>
      <c r="C98" s="22"/>
      <c r="D98" s="23"/>
      <c r="E98" s="24"/>
      <c r="F98" s="25"/>
      <c r="G98" s="26"/>
      <c r="H98" s="27"/>
      <c r="I98" s="28" t="str">
        <f t="shared" si="17"/>
        <v>N/A</v>
      </c>
      <c r="J98" s="56" t="str">
        <f t="shared" si="22"/>
        <v>N/A</v>
      </c>
      <c r="K98" s="60"/>
    </row>
    <row r="99" spans="1:11" ht="21.95" customHeight="1" x14ac:dyDescent="0.25">
      <c r="A99" s="20" t="s">
        <v>15</v>
      </c>
      <c r="B99" s="21" t="str">
        <f t="shared" ca="1" si="20"/>
        <v/>
      </c>
      <c r="C99" s="22"/>
      <c r="D99" s="23"/>
      <c r="E99" s="24"/>
      <c r="F99" s="25"/>
      <c r="G99" s="26"/>
      <c r="H99" s="27"/>
      <c r="I99" s="28" t="str">
        <f>IF(F99+G99+H99=0,("N/A"),SUM(F99,G99,H99)/3)</f>
        <v>N/A</v>
      </c>
      <c r="J99" s="56" t="str">
        <f t="shared" si="22"/>
        <v>N/A</v>
      </c>
      <c r="K99" s="83"/>
    </row>
    <row r="100" spans="1:11" ht="21.95" customHeight="1" x14ac:dyDescent="0.25">
      <c r="A100" s="30" t="s">
        <v>16</v>
      </c>
      <c r="B100" s="21" t="str">
        <f t="shared" ca="1" si="20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22"/>
        <v>N/A</v>
      </c>
      <c r="K100" s="83"/>
    </row>
    <row r="101" spans="1:11" ht="21.95" customHeight="1" x14ac:dyDescent="0.25">
      <c r="A101" s="31" t="s">
        <v>39</v>
      </c>
      <c r="B101" s="21" t="str">
        <f t="shared" ca="1" si="20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22"/>
        <v>N/A</v>
      </c>
      <c r="K101" s="83"/>
    </row>
    <row r="102" spans="1:11" ht="21.95" customHeight="1" x14ac:dyDescent="0.25">
      <c r="A102" s="31" t="s">
        <v>19</v>
      </c>
      <c r="B102" s="21" t="str">
        <f t="shared" ca="1" si="20"/>
        <v/>
      </c>
      <c r="C102" s="22"/>
      <c r="D102" s="23"/>
      <c r="E102" s="24"/>
      <c r="F102" s="25"/>
      <c r="G102" s="26"/>
      <c r="H102" s="27"/>
      <c r="I102" s="28" t="str">
        <f t="shared" ref="I102:I112" si="23">IF(F102+G102+H102=0,("N/A"),SUM(F102,G102,H102)/3)</f>
        <v>N/A</v>
      </c>
      <c r="J102" s="56" t="str">
        <f>IF(I102="N/A","N/A",I102-E102)</f>
        <v>N/A</v>
      </c>
      <c r="K102" s="83"/>
    </row>
    <row r="103" spans="1:11" ht="21.95" customHeight="1" x14ac:dyDescent="0.25">
      <c r="A103" s="31" t="s">
        <v>20</v>
      </c>
      <c r="B103" s="21" t="str">
        <f t="shared" ca="1" si="20"/>
        <v/>
      </c>
      <c r="C103" s="22"/>
      <c r="D103" s="23"/>
      <c r="E103" s="24"/>
      <c r="F103" s="25"/>
      <c r="G103" s="26"/>
      <c r="H103" s="27"/>
      <c r="I103" s="28" t="str">
        <f t="shared" si="23"/>
        <v>N/A</v>
      </c>
      <c r="J103" s="56" t="str">
        <f t="shared" ref="J103:J112" si="24">IF(I103="N/A","N/A",I103-E103)</f>
        <v>N/A</v>
      </c>
      <c r="K103" s="83"/>
    </row>
    <row r="104" spans="1:11" ht="21.95" customHeight="1" x14ac:dyDescent="0.25">
      <c r="A104" s="31" t="s">
        <v>21</v>
      </c>
      <c r="B104" s="21" t="str">
        <f t="shared" ca="1" si="20"/>
        <v/>
      </c>
      <c r="C104" s="22"/>
      <c r="D104" s="23"/>
      <c r="E104" s="24"/>
      <c r="F104" s="25"/>
      <c r="G104" s="26"/>
      <c r="H104" s="27"/>
      <c r="I104" s="28" t="str">
        <f t="shared" si="23"/>
        <v>N/A</v>
      </c>
      <c r="J104" s="56" t="str">
        <f t="shared" si="24"/>
        <v>N/A</v>
      </c>
      <c r="K104" s="83"/>
    </row>
    <row r="105" spans="1:11" ht="21.95" customHeight="1" x14ac:dyDescent="0.25">
      <c r="A105" s="31" t="s">
        <v>2</v>
      </c>
      <c r="B105" s="21" t="str">
        <f t="shared" ca="1" si="20"/>
        <v/>
      </c>
      <c r="C105" s="22"/>
      <c r="D105" s="23"/>
      <c r="E105" s="24"/>
      <c r="F105" s="25"/>
      <c r="G105" s="26"/>
      <c r="H105" s="27"/>
      <c r="I105" s="28" t="str">
        <f t="shared" si="23"/>
        <v>N/A</v>
      </c>
      <c r="J105" s="56" t="str">
        <f t="shared" si="24"/>
        <v>N/A</v>
      </c>
      <c r="K105" s="83"/>
    </row>
    <row r="106" spans="1:11" ht="21.95" customHeight="1" x14ac:dyDescent="0.25">
      <c r="A106" s="31" t="s">
        <v>22</v>
      </c>
      <c r="B106" s="21" t="str">
        <f t="shared" ca="1" si="20"/>
        <v/>
      </c>
      <c r="C106" s="22"/>
      <c r="D106" s="23"/>
      <c r="E106" s="24"/>
      <c r="F106" s="25"/>
      <c r="G106" s="26"/>
      <c r="H106" s="27"/>
      <c r="I106" s="28" t="str">
        <f t="shared" si="23"/>
        <v>N/A</v>
      </c>
      <c r="J106" s="56" t="str">
        <f t="shared" si="24"/>
        <v>N/A</v>
      </c>
      <c r="K106" s="60"/>
    </row>
    <row r="107" spans="1:11" ht="21.95" customHeight="1" x14ac:dyDescent="0.25">
      <c r="A107" s="31" t="s">
        <v>23</v>
      </c>
      <c r="B107" s="21" t="str">
        <f t="shared" ca="1" si="20"/>
        <v/>
      </c>
      <c r="C107" s="22"/>
      <c r="D107" s="23"/>
      <c r="E107" s="24"/>
      <c r="F107" s="25"/>
      <c r="G107" s="26"/>
      <c r="H107" s="27"/>
      <c r="I107" s="28" t="str">
        <f t="shared" si="23"/>
        <v>N/A</v>
      </c>
      <c r="J107" s="56" t="str">
        <f t="shared" si="24"/>
        <v>N/A</v>
      </c>
      <c r="K107" s="60"/>
    </row>
    <row r="108" spans="1:11" ht="21.95" customHeight="1" x14ac:dyDescent="0.25">
      <c r="A108" s="31" t="s">
        <v>24</v>
      </c>
      <c r="B108" s="21" t="str">
        <f t="shared" ca="1" si="20"/>
        <v/>
      </c>
      <c r="C108" s="22"/>
      <c r="D108" s="23"/>
      <c r="E108" s="24"/>
      <c r="F108" s="25"/>
      <c r="G108" s="26"/>
      <c r="H108" s="27"/>
      <c r="I108" s="28" t="str">
        <f>IF(F108+G108+H108=0,("N/A"),SUM(F108,G108,H108)/3)</f>
        <v>N/A</v>
      </c>
      <c r="J108" s="56" t="str">
        <f>IF(I108="N/A","N/A",I108-E108)</f>
        <v>N/A</v>
      </c>
      <c r="K108" s="60"/>
    </row>
    <row r="109" spans="1:11" ht="21.95" customHeight="1" x14ac:dyDescent="0.25">
      <c r="A109" s="87" t="s">
        <v>25</v>
      </c>
      <c r="B109" s="21" t="str">
        <f t="shared" ca="1" si="20"/>
        <v/>
      </c>
      <c r="C109" s="22"/>
      <c r="D109" s="23"/>
      <c r="E109" s="24"/>
      <c r="F109" s="25"/>
      <c r="G109" s="26"/>
      <c r="H109" s="27"/>
      <c r="I109" s="28" t="str">
        <f t="shared" ref="I109:I111" si="25">IF(F109+G109+H109=0,("N/A"),SUM(F109,G109,H109)/3)</f>
        <v>N/A</v>
      </c>
      <c r="J109" s="56" t="str">
        <f t="shared" ref="J109:J111" si="26">IF(I109="N/A","N/A",I109-E109)</f>
        <v>N/A</v>
      </c>
      <c r="K109" s="88"/>
    </row>
    <row r="110" spans="1:11" ht="21.95" customHeight="1" x14ac:dyDescent="0.25">
      <c r="A110" s="87" t="s">
        <v>77</v>
      </c>
      <c r="B110" s="21" t="str">
        <f t="shared" ca="1" si="20"/>
        <v/>
      </c>
      <c r="C110" s="22"/>
      <c r="D110" s="23"/>
      <c r="E110" s="24"/>
      <c r="F110" s="25"/>
      <c r="G110" s="26"/>
      <c r="H110" s="27"/>
      <c r="I110" s="28" t="str">
        <f t="shared" si="25"/>
        <v>N/A</v>
      </c>
      <c r="J110" s="56" t="str">
        <f t="shared" si="26"/>
        <v>N/A</v>
      </c>
      <c r="K110" s="88"/>
    </row>
    <row r="111" spans="1:11" ht="21.95" customHeight="1" x14ac:dyDescent="0.25">
      <c r="A111" s="87" t="s">
        <v>86</v>
      </c>
      <c r="B111" s="21" t="str">
        <f t="shared" ca="1" si="20"/>
        <v/>
      </c>
      <c r="C111" s="22"/>
      <c r="D111" s="23"/>
      <c r="E111" s="24"/>
      <c r="F111" s="25"/>
      <c r="G111" s="26"/>
      <c r="H111" s="27"/>
      <c r="I111" s="28" t="str">
        <f t="shared" si="25"/>
        <v>N/A</v>
      </c>
      <c r="J111" s="56" t="str">
        <f t="shared" si="26"/>
        <v>N/A</v>
      </c>
      <c r="K111" s="88"/>
    </row>
    <row r="112" spans="1:11" ht="21.95" customHeight="1" thickBot="1" x14ac:dyDescent="0.3">
      <c r="A112" s="33" t="s">
        <v>87</v>
      </c>
      <c r="B112" s="21" t="str">
        <f t="shared" ca="1" si="20"/>
        <v/>
      </c>
      <c r="C112" s="22"/>
      <c r="D112" s="23"/>
      <c r="E112" s="24"/>
      <c r="F112" s="25"/>
      <c r="G112" s="26"/>
      <c r="H112" s="27"/>
      <c r="I112" s="28" t="str">
        <f t="shared" si="23"/>
        <v>N/A</v>
      </c>
      <c r="J112" s="56" t="str">
        <f t="shared" si="24"/>
        <v>N/A</v>
      </c>
      <c r="K112" s="83"/>
    </row>
    <row r="113" spans="1:12" ht="18" customHeight="1" x14ac:dyDescent="0.2">
      <c r="A113" s="18"/>
      <c r="B113" s="19"/>
      <c r="C113" s="19"/>
      <c r="D113" s="19"/>
      <c r="E113" s="19"/>
      <c r="F113" s="19"/>
      <c r="G113" s="19"/>
      <c r="H113" s="19"/>
      <c r="I113" s="19"/>
      <c r="J113" s="19"/>
      <c r="K113" s="55"/>
    </row>
    <row r="114" spans="1:12" ht="18" customHeight="1" x14ac:dyDescent="0.25">
      <c r="A114" s="104" t="s">
        <v>27</v>
      </c>
      <c r="B114" s="105"/>
      <c r="C114" s="105"/>
      <c r="D114" s="105"/>
      <c r="E114" s="105"/>
      <c r="F114" s="59" t="str">
        <f>IF(COUNT(J89:J99),AVERAGE(J89:J99),"N/A")</f>
        <v>N/A</v>
      </c>
      <c r="H114" s="58"/>
      <c r="I114" s="58"/>
      <c r="J114" s="53"/>
      <c r="K114" s="55"/>
    </row>
    <row r="115" spans="1:12" ht="18" customHeight="1" x14ac:dyDescent="0.25">
      <c r="A115" s="34"/>
      <c r="B115" s="35"/>
      <c r="C115" s="36"/>
      <c r="D115" s="36"/>
      <c r="E115" s="37"/>
      <c r="F115" s="48"/>
      <c r="G115" s="48"/>
      <c r="H115" s="48"/>
      <c r="I115" s="48"/>
      <c r="J115" s="52"/>
      <c r="K115" s="55"/>
    </row>
    <row r="116" spans="1:12" ht="18" customHeight="1" x14ac:dyDescent="0.25">
      <c r="A116" s="106" t="s">
        <v>28</v>
      </c>
      <c r="B116" s="107"/>
      <c r="C116" s="107"/>
      <c r="D116" s="107"/>
      <c r="E116" s="108"/>
      <c r="F116" s="51" t="str">
        <f>IF(COUNT(J100:J112),AVERAGE(J100:J112),"N/A")</f>
        <v>N/A</v>
      </c>
      <c r="G116" s="54"/>
      <c r="I116" s="53"/>
      <c r="J116" s="53"/>
      <c r="K116" s="55"/>
    </row>
    <row r="117" spans="1:12" ht="18" customHeight="1" x14ac:dyDescent="0.25">
      <c r="A117" s="39"/>
      <c r="B117" s="40"/>
      <c r="C117" s="37"/>
      <c r="D117" s="37"/>
      <c r="E117" s="37"/>
      <c r="F117" s="37"/>
      <c r="G117" s="48"/>
      <c r="H117" s="48"/>
      <c r="I117" s="48"/>
      <c r="J117" s="52"/>
      <c r="K117" s="55"/>
    </row>
    <row r="118" spans="1:12" ht="18" customHeight="1" x14ac:dyDescent="0.25">
      <c r="A118" s="106" t="s">
        <v>29</v>
      </c>
      <c r="B118" s="107"/>
      <c r="C118" s="107"/>
      <c r="D118" s="107"/>
      <c r="E118" s="108"/>
      <c r="F118" s="59" t="str">
        <f>IF(COUNT(J89:J112),AVERAGE(J89:J112),"N/A")</f>
        <v>N/A</v>
      </c>
      <c r="G118" s="58"/>
      <c r="H118" s="58"/>
      <c r="I118" s="58"/>
      <c r="J118" s="53"/>
      <c r="K118" s="55"/>
    </row>
    <row r="119" spans="1:12" ht="18" customHeight="1" x14ac:dyDescent="0.25">
      <c r="A119" s="39"/>
      <c r="B119" s="40"/>
      <c r="C119" s="48"/>
      <c r="D119" s="48"/>
      <c r="E119" s="48"/>
      <c r="F119" s="48"/>
      <c r="G119" s="48"/>
      <c r="H119" s="48"/>
      <c r="I119" s="48"/>
      <c r="J119" s="48"/>
      <c r="K119" s="55"/>
    </row>
    <row r="120" spans="1:12" ht="18" customHeight="1" thickBot="1" x14ac:dyDescent="0.25">
      <c r="A120" s="41"/>
      <c r="B120" s="42"/>
      <c r="C120" s="42"/>
      <c r="D120" s="42"/>
      <c r="E120" s="43"/>
      <c r="F120" s="43"/>
      <c r="G120" s="43"/>
      <c r="H120" s="43"/>
      <c r="I120" s="43"/>
      <c r="J120" s="43"/>
      <c r="K120" s="43"/>
      <c r="L120" s="57"/>
    </row>
    <row r="121" spans="1:12" ht="22.5" customHeight="1" thickTop="1" x14ac:dyDescent="0.3">
      <c r="A121" s="13" t="s">
        <v>17</v>
      </c>
      <c r="B121" s="14"/>
      <c r="C121" s="120"/>
      <c r="D121" s="121"/>
      <c r="E121" s="122"/>
      <c r="F121" s="123" t="s">
        <v>33</v>
      </c>
      <c r="G121" s="124"/>
      <c r="H121" s="15"/>
      <c r="I121" s="15"/>
      <c r="J121" s="50"/>
      <c r="K121" s="16"/>
    </row>
    <row r="122" spans="1:12" ht="13.5" thickBot="1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55"/>
    </row>
    <row r="123" spans="1:12" ht="14.1" customHeight="1" thickTop="1" x14ac:dyDescent="0.2">
      <c r="A123" s="131" t="s">
        <v>36</v>
      </c>
      <c r="B123" s="132"/>
      <c r="C123" s="132"/>
      <c r="D123" s="133"/>
      <c r="E123" s="92" t="s">
        <v>8</v>
      </c>
      <c r="F123" s="93"/>
      <c r="G123" s="93"/>
      <c r="H123" s="93"/>
      <c r="I123" s="93"/>
      <c r="J123" s="94"/>
      <c r="K123" s="101"/>
    </row>
    <row r="124" spans="1:12" ht="14.1" customHeight="1" x14ac:dyDescent="0.2">
      <c r="A124" s="134"/>
      <c r="B124" s="135"/>
      <c r="C124" s="135"/>
      <c r="D124" s="136"/>
      <c r="E124" s="95"/>
      <c r="F124" s="96"/>
      <c r="G124" s="96"/>
      <c r="H124" s="96"/>
      <c r="I124" s="96"/>
      <c r="J124" s="97"/>
      <c r="K124" s="102"/>
    </row>
    <row r="125" spans="1:12" ht="14.1" customHeight="1" thickBot="1" x14ac:dyDescent="0.25">
      <c r="A125" s="137"/>
      <c r="B125" s="138"/>
      <c r="C125" s="138"/>
      <c r="D125" s="139"/>
      <c r="E125" s="98"/>
      <c r="F125" s="99"/>
      <c r="G125" s="99"/>
      <c r="H125" s="99"/>
      <c r="I125" s="99"/>
      <c r="J125" s="100"/>
      <c r="K125" s="103"/>
    </row>
    <row r="126" spans="1:12" ht="20.100000000000001" customHeight="1" thickTop="1" x14ac:dyDescent="0.2">
      <c r="A126" s="128" t="s">
        <v>3</v>
      </c>
      <c r="B126" s="141" t="s">
        <v>41</v>
      </c>
      <c r="C126" s="118" t="s">
        <v>26</v>
      </c>
      <c r="D126" s="140" t="s">
        <v>47</v>
      </c>
      <c r="E126" s="113" t="s">
        <v>0</v>
      </c>
      <c r="F126" s="113" t="s">
        <v>4</v>
      </c>
      <c r="G126" s="113" t="s">
        <v>5</v>
      </c>
      <c r="H126" s="113" t="s">
        <v>6</v>
      </c>
      <c r="I126" s="115" t="s">
        <v>7</v>
      </c>
      <c r="J126" s="125" t="s">
        <v>18</v>
      </c>
      <c r="K126" s="109" t="s">
        <v>83</v>
      </c>
    </row>
    <row r="127" spans="1:12" ht="20.100000000000001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6"/>
      <c r="J127" s="126"/>
      <c r="K127" s="110"/>
    </row>
    <row r="128" spans="1:12" ht="20.100000000000001" customHeight="1" x14ac:dyDescent="0.2">
      <c r="A128" s="129"/>
      <c r="B128" s="130"/>
      <c r="C128" s="119"/>
      <c r="D128" s="112"/>
      <c r="E128" s="114"/>
      <c r="F128" s="114"/>
      <c r="G128" s="114"/>
      <c r="H128" s="114"/>
      <c r="I128" s="117"/>
      <c r="J128" s="127"/>
      <c r="K128" s="111"/>
    </row>
    <row r="129" spans="1:11" ht="21.95" customHeight="1" x14ac:dyDescent="0.25">
      <c r="A129" s="20" t="s">
        <v>85</v>
      </c>
      <c r="B129" s="21" t="str">
        <f ca="1">IF(H129&lt;&gt;"",IF(B129="",NOW(),B129),"")</f>
        <v/>
      </c>
      <c r="C129" s="22"/>
      <c r="D129" s="23"/>
      <c r="E129" s="24"/>
      <c r="F129" s="25"/>
      <c r="G129" s="26"/>
      <c r="H129" s="27"/>
      <c r="I129" s="28" t="str">
        <f t="shared" ref="I129:I138" si="27">IF(F129+G129+H129=0,("N/A"),SUM(F129,G129,H129)/3)</f>
        <v>N/A</v>
      </c>
      <c r="J129" s="56" t="str">
        <f>IF(I129="N/A","N/A",I129-E129)</f>
        <v>N/A</v>
      </c>
      <c r="K129" s="61"/>
    </row>
    <row r="130" spans="1:11" ht="21.95" customHeight="1" x14ac:dyDescent="0.25">
      <c r="A130" s="20" t="s">
        <v>84</v>
      </c>
      <c r="B130" s="21" t="str">
        <f t="shared" ref="B130:B131" ca="1" si="28">IF(H130&lt;&gt;"",IF(B130="",NOW(),B130),"")</f>
        <v/>
      </c>
      <c r="C130" s="22"/>
      <c r="D130" s="23"/>
      <c r="E130" s="24"/>
      <c r="F130" s="25"/>
      <c r="G130" s="26"/>
      <c r="H130" s="27"/>
      <c r="I130" s="28" t="str">
        <f t="shared" si="27"/>
        <v>N/A</v>
      </c>
      <c r="J130" s="56" t="str">
        <f t="shared" ref="J130:J131" si="29">IF(I130="N/A","N/A",I130-E130)</f>
        <v>N/A</v>
      </c>
      <c r="K130" s="61"/>
    </row>
    <row r="131" spans="1:11" ht="21.95" customHeight="1" x14ac:dyDescent="0.25">
      <c r="A131" s="20" t="s">
        <v>38</v>
      </c>
      <c r="B131" s="21" t="str">
        <f t="shared" ca="1" si="28"/>
        <v/>
      </c>
      <c r="C131" s="22"/>
      <c r="D131" s="23"/>
      <c r="E131" s="24"/>
      <c r="F131" s="25"/>
      <c r="G131" s="26"/>
      <c r="H131" s="27"/>
      <c r="I131" s="28" t="str">
        <f t="shared" si="27"/>
        <v>N/A</v>
      </c>
      <c r="J131" s="56" t="str">
        <f t="shared" si="29"/>
        <v>N/A</v>
      </c>
      <c r="K131" s="61"/>
    </row>
    <row r="132" spans="1:11" ht="21.95" customHeight="1" x14ac:dyDescent="0.25">
      <c r="A132" s="20" t="s">
        <v>1</v>
      </c>
      <c r="B132" s="21" t="str">
        <f t="shared" ref="B132:B152" ca="1" si="30">IF(H132&lt;&gt;"",IF(B132="",NOW(),B132),"")</f>
        <v/>
      </c>
      <c r="C132" s="22"/>
      <c r="D132" s="23"/>
      <c r="E132" s="24"/>
      <c r="F132" s="25"/>
      <c r="G132" s="26"/>
      <c r="H132" s="27"/>
      <c r="I132" s="28" t="str">
        <f t="shared" si="27"/>
        <v>N/A</v>
      </c>
      <c r="J132" s="56" t="str">
        <f t="shared" ref="J132" si="31">IF(I132="N/A","N/A",I132-E132)</f>
        <v>N/A</v>
      </c>
      <c r="K132" s="60"/>
    </row>
    <row r="133" spans="1:11" ht="21.95" customHeight="1" x14ac:dyDescent="0.25">
      <c r="A133" s="20" t="s">
        <v>9</v>
      </c>
      <c r="B133" s="21" t="str">
        <f t="shared" ca="1" si="30"/>
        <v/>
      </c>
      <c r="C133" s="22"/>
      <c r="D133" s="23"/>
      <c r="E133" s="24"/>
      <c r="F133" s="25"/>
      <c r="G133" s="26"/>
      <c r="H133" s="27"/>
      <c r="I133" s="28" t="str">
        <f t="shared" si="27"/>
        <v>N/A</v>
      </c>
      <c r="J133" s="56" t="str">
        <f>IF(I133="N/A","N/A",I133-E133)</f>
        <v>N/A</v>
      </c>
      <c r="K133" s="60"/>
    </row>
    <row r="134" spans="1:11" ht="21.95" customHeight="1" x14ac:dyDescent="0.25">
      <c r="A134" s="20" t="s">
        <v>10</v>
      </c>
      <c r="B134" s="21" t="str">
        <f t="shared" ca="1" si="30"/>
        <v/>
      </c>
      <c r="C134" s="22"/>
      <c r="D134" s="23"/>
      <c r="E134" s="24"/>
      <c r="F134" s="25"/>
      <c r="G134" s="26"/>
      <c r="H134" s="27"/>
      <c r="I134" s="28" t="str">
        <f t="shared" si="27"/>
        <v>N/A</v>
      </c>
      <c r="J134" s="56" t="str">
        <f t="shared" ref="J134:J141" si="32">IF(I134="N/A","N/A",I134-E134)</f>
        <v>N/A</v>
      </c>
      <c r="K134" s="60"/>
    </row>
    <row r="135" spans="1:11" ht="21.95" customHeight="1" x14ac:dyDescent="0.25">
      <c r="A135" s="20" t="s">
        <v>11</v>
      </c>
      <c r="B135" s="21" t="str">
        <f t="shared" ca="1" si="30"/>
        <v/>
      </c>
      <c r="C135" s="22"/>
      <c r="D135" s="23"/>
      <c r="E135" s="24"/>
      <c r="F135" s="25"/>
      <c r="G135" s="26"/>
      <c r="H135" s="27"/>
      <c r="I135" s="28" t="str">
        <f t="shared" si="27"/>
        <v>N/A</v>
      </c>
      <c r="J135" s="56" t="str">
        <f t="shared" si="32"/>
        <v>N/A</v>
      </c>
      <c r="K135" s="60"/>
    </row>
    <row r="136" spans="1:11" ht="21.95" customHeight="1" x14ac:dyDescent="0.25">
      <c r="A136" s="20" t="s">
        <v>12</v>
      </c>
      <c r="B136" s="21" t="str">
        <f t="shared" ca="1" si="30"/>
        <v/>
      </c>
      <c r="C136" s="22"/>
      <c r="D136" s="23"/>
      <c r="E136" s="24"/>
      <c r="F136" s="25"/>
      <c r="G136" s="26"/>
      <c r="H136" s="27"/>
      <c r="I136" s="28" t="str">
        <f t="shared" si="27"/>
        <v>N/A</v>
      </c>
      <c r="J136" s="56" t="str">
        <f t="shared" si="32"/>
        <v>N/A</v>
      </c>
      <c r="K136" s="60"/>
    </row>
    <row r="137" spans="1:11" ht="21.95" customHeight="1" x14ac:dyDescent="0.25">
      <c r="A137" s="20" t="s">
        <v>13</v>
      </c>
      <c r="B137" s="21" t="str">
        <f t="shared" ca="1" si="30"/>
        <v/>
      </c>
      <c r="C137" s="22"/>
      <c r="D137" s="23"/>
      <c r="E137" s="24"/>
      <c r="F137" s="25"/>
      <c r="G137" s="26"/>
      <c r="H137" s="27"/>
      <c r="I137" s="28" t="str">
        <f t="shared" si="27"/>
        <v>N/A</v>
      </c>
      <c r="J137" s="56" t="str">
        <f t="shared" si="32"/>
        <v>N/A</v>
      </c>
      <c r="K137" s="60"/>
    </row>
    <row r="138" spans="1:11" ht="21.95" customHeight="1" x14ac:dyDescent="0.25">
      <c r="A138" s="20" t="s">
        <v>14</v>
      </c>
      <c r="B138" s="21" t="str">
        <f t="shared" ca="1" si="30"/>
        <v/>
      </c>
      <c r="C138" s="22"/>
      <c r="D138" s="23"/>
      <c r="E138" s="24"/>
      <c r="F138" s="25"/>
      <c r="G138" s="26"/>
      <c r="H138" s="27"/>
      <c r="I138" s="28" t="str">
        <f t="shared" si="27"/>
        <v>N/A</v>
      </c>
      <c r="J138" s="56" t="str">
        <f t="shared" si="32"/>
        <v>N/A</v>
      </c>
      <c r="K138" s="60"/>
    </row>
    <row r="139" spans="1:11" ht="21.95" customHeight="1" x14ac:dyDescent="0.25">
      <c r="A139" s="20" t="s">
        <v>15</v>
      </c>
      <c r="B139" s="21" t="str">
        <f t="shared" ca="1" si="30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32"/>
        <v>N/A</v>
      </c>
      <c r="K139" s="83"/>
    </row>
    <row r="140" spans="1:11" ht="21.95" customHeight="1" x14ac:dyDescent="0.25">
      <c r="A140" s="30" t="s">
        <v>16</v>
      </c>
      <c r="B140" s="21" t="str">
        <f t="shared" ca="1" si="30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32"/>
        <v>N/A</v>
      </c>
      <c r="K140" s="83"/>
    </row>
    <row r="141" spans="1:11" ht="21.95" customHeight="1" x14ac:dyDescent="0.25">
      <c r="A141" s="31" t="s">
        <v>39</v>
      </c>
      <c r="B141" s="21" t="str">
        <f t="shared" ca="1" si="30"/>
        <v/>
      </c>
      <c r="C141" s="22"/>
      <c r="D141" s="23"/>
      <c r="E141" s="24"/>
      <c r="F141" s="25"/>
      <c r="G141" s="26"/>
      <c r="H141" s="27"/>
      <c r="I141" s="28" t="str">
        <f>IF(F141+G141+H141=0,("N/A"),SUM(F141,G141,H141)/3)</f>
        <v>N/A</v>
      </c>
      <c r="J141" s="56" t="str">
        <f t="shared" si="32"/>
        <v>N/A</v>
      </c>
      <c r="K141" s="83"/>
    </row>
    <row r="142" spans="1:11" ht="21.95" customHeight="1" x14ac:dyDescent="0.25">
      <c r="A142" s="31" t="s">
        <v>19</v>
      </c>
      <c r="B142" s="21" t="str">
        <f t="shared" ca="1" si="30"/>
        <v/>
      </c>
      <c r="C142" s="22"/>
      <c r="D142" s="23"/>
      <c r="E142" s="24"/>
      <c r="F142" s="25"/>
      <c r="G142" s="26"/>
      <c r="H142" s="27"/>
      <c r="I142" s="28" t="str">
        <f t="shared" ref="I142:I152" si="33">IF(F142+G142+H142=0,("N/A"),SUM(F142,G142,H142)/3)</f>
        <v>N/A</v>
      </c>
      <c r="J142" s="56" t="str">
        <f>IF(I142="N/A","N/A",I142-E142)</f>
        <v>N/A</v>
      </c>
      <c r="K142" s="83"/>
    </row>
    <row r="143" spans="1:11" ht="21.95" customHeight="1" x14ac:dyDescent="0.25">
      <c r="A143" s="31" t="s">
        <v>20</v>
      </c>
      <c r="B143" s="21" t="str">
        <f t="shared" ca="1" si="30"/>
        <v/>
      </c>
      <c r="C143" s="22"/>
      <c r="D143" s="23"/>
      <c r="E143" s="24"/>
      <c r="F143" s="25"/>
      <c r="G143" s="26"/>
      <c r="H143" s="27"/>
      <c r="I143" s="28" t="str">
        <f t="shared" si="33"/>
        <v>N/A</v>
      </c>
      <c r="J143" s="56" t="str">
        <f t="shared" ref="J143:J152" si="34">IF(I143="N/A","N/A",I143-E143)</f>
        <v>N/A</v>
      </c>
      <c r="K143" s="83"/>
    </row>
    <row r="144" spans="1:11" ht="21.95" customHeight="1" x14ac:dyDescent="0.25">
      <c r="A144" s="31" t="s">
        <v>21</v>
      </c>
      <c r="B144" s="21" t="str">
        <f t="shared" ca="1" si="30"/>
        <v/>
      </c>
      <c r="C144" s="22"/>
      <c r="D144" s="23"/>
      <c r="E144" s="24"/>
      <c r="F144" s="25"/>
      <c r="G144" s="26"/>
      <c r="H144" s="27"/>
      <c r="I144" s="28" t="str">
        <f t="shared" si="33"/>
        <v>N/A</v>
      </c>
      <c r="J144" s="56" t="str">
        <f t="shared" si="34"/>
        <v>N/A</v>
      </c>
      <c r="K144" s="83"/>
    </row>
    <row r="145" spans="1:12" ht="21.95" customHeight="1" x14ac:dyDescent="0.25">
      <c r="A145" s="31" t="s">
        <v>2</v>
      </c>
      <c r="B145" s="21" t="str">
        <f t="shared" ca="1" si="30"/>
        <v/>
      </c>
      <c r="C145" s="22"/>
      <c r="D145" s="23"/>
      <c r="E145" s="24"/>
      <c r="F145" s="25"/>
      <c r="G145" s="26"/>
      <c r="H145" s="27"/>
      <c r="I145" s="28" t="str">
        <f t="shared" si="33"/>
        <v>N/A</v>
      </c>
      <c r="J145" s="56" t="str">
        <f t="shared" si="34"/>
        <v>N/A</v>
      </c>
      <c r="K145" s="83"/>
    </row>
    <row r="146" spans="1:12" ht="21.95" customHeight="1" x14ac:dyDescent="0.25">
      <c r="A146" s="31" t="s">
        <v>22</v>
      </c>
      <c r="B146" s="21" t="str">
        <f t="shared" ca="1" si="30"/>
        <v/>
      </c>
      <c r="C146" s="22"/>
      <c r="D146" s="23"/>
      <c r="E146" s="24"/>
      <c r="F146" s="25"/>
      <c r="G146" s="26"/>
      <c r="H146" s="27"/>
      <c r="I146" s="28" t="str">
        <f t="shared" si="33"/>
        <v>N/A</v>
      </c>
      <c r="J146" s="56" t="str">
        <f t="shared" si="34"/>
        <v>N/A</v>
      </c>
      <c r="K146" s="60"/>
    </row>
    <row r="147" spans="1:12" ht="21.95" customHeight="1" x14ac:dyDescent="0.25">
      <c r="A147" s="31" t="s">
        <v>23</v>
      </c>
      <c r="B147" s="21" t="str">
        <f t="shared" ca="1" si="30"/>
        <v/>
      </c>
      <c r="C147" s="22"/>
      <c r="D147" s="23"/>
      <c r="E147" s="24"/>
      <c r="F147" s="25"/>
      <c r="G147" s="26"/>
      <c r="H147" s="27"/>
      <c r="I147" s="28" t="str">
        <f t="shared" si="33"/>
        <v>N/A</v>
      </c>
      <c r="J147" s="56" t="str">
        <f t="shared" si="34"/>
        <v>N/A</v>
      </c>
      <c r="K147" s="60"/>
    </row>
    <row r="148" spans="1:12" ht="21.95" customHeight="1" x14ac:dyDescent="0.25">
      <c r="A148" s="31" t="s">
        <v>24</v>
      </c>
      <c r="B148" s="21" t="str">
        <f t="shared" ca="1" si="30"/>
        <v/>
      </c>
      <c r="C148" s="22"/>
      <c r="D148" s="23"/>
      <c r="E148" s="24"/>
      <c r="F148" s="25"/>
      <c r="G148" s="26"/>
      <c r="H148" s="27"/>
      <c r="I148" s="28" t="str">
        <f t="shared" si="33"/>
        <v>N/A</v>
      </c>
      <c r="J148" s="56" t="str">
        <f t="shared" si="34"/>
        <v>N/A</v>
      </c>
      <c r="K148" s="60"/>
    </row>
    <row r="149" spans="1:12" ht="21.95" customHeight="1" x14ac:dyDescent="0.25">
      <c r="A149" s="87" t="s">
        <v>25</v>
      </c>
      <c r="B149" s="21" t="str">
        <f t="shared" ca="1" si="30"/>
        <v/>
      </c>
      <c r="C149" s="22"/>
      <c r="D149" s="23"/>
      <c r="E149" s="24"/>
      <c r="F149" s="25"/>
      <c r="G149" s="26"/>
      <c r="H149" s="27"/>
      <c r="I149" s="28" t="str">
        <f t="shared" si="33"/>
        <v>N/A</v>
      </c>
      <c r="J149" s="56" t="str">
        <f t="shared" si="34"/>
        <v>N/A</v>
      </c>
      <c r="K149" s="88"/>
    </row>
    <row r="150" spans="1:12" ht="21.95" customHeight="1" x14ac:dyDescent="0.25">
      <c r="A150" s="87" t="s">
        <v>77</v>
      </c>
      <c r="B150" s="21" t="str">
        <f t="shared" ca="1" si="30"/>
        <v/>
      </c>
      <c r="C150" s="22"/>
      <c r="D150" s="23"/>
      <c r="E150" s="24"/>
      <c r="F150" s="25"/>
      <c r="G150" s="26"/>
      <c r="H150" s="27"/>
      <c r="I150" s="28" t="str">
        <f t="shared" si="33"/>
        <v>N/A</v>
      </c>
      <c r="J150" s="56" t="str">
        <f t="shared" si="34"/>
        <v>N/A</v>
      </c>
      <c r="K150" s="88"/>
    </row>
    <row r="151" spans="1:12" ht="21.95" customHeight="1" x14ac:dyDescent="0.25">
      <c r="A151" s="87" t="s">
        <v>86</v>
      </c>
      <c r="B151" s="21" t="str">
        <f t="shared" ca="1" si="30"/>
        <v/>
      </c>
      <c r="C151" s="22"/>
      <c r="D151" s="23"/>
      <c r="E151" s="24"/>
      <c r="F151" s="25"/>
      <c r="G151" s="26"/>
      <c r="H151" s="27"/>
      <c r="I151" s="28" t="str">
        <f t="shared" si="33"/>
        <v>N/A</v>
      </c>
      <c r="J151" s="56" t="str">
        <f t="shared" si="34"/>
        <v>N/A</v>
      </c>
      <c r="K151" s="88"/>
    </row>
    <row r="152" spans="1:12" ht="21.95" customHeight="1" thickBot="1" x14ac:dyDescent="0.3">
      <c r="A152" s="33" t="s">
        <v>87</v>
      </c>
      <c r="B152" s="21" t="str">
        <f t="shared" ca="1" si="30"/>
        <v/>
      </c>
      <c r="C152" s="22"/>
      <c r="D152" s="23"/>
      <c r="E152" s="24"/>
      <c r="F152" s="25"/>
      <c r="G152" s="26"/>
      <c r="H152" s="27"/>
      <c r="I152" s="28" t="str">
        <f t="shared" si="33"/>
        <v>N/A</v>
      </c>
      <c r="J152" s="56" t="str">
        <f t="shared" si="34"/>
        <v>N/A</v>
      </c>
      <c r="K152" s="83"/>
    </row>
    <row r="153" spans="1:12" ht="18" customHeight="1" x14ac:dyDescent="0.2">
      <c r="A153" s="18"/>
      <c r="B153" s="19"/>
      <c r="C153" s="19"/>
      <c r="D153" s="19"/>
      <c r="E153" s="19"/>
      <c r="F153" s="19"/>
      <c r="G153" s="19"/>
      <c r="H153" s="19"/>
      <c r="I153" s="19"/>
      <c r="J153" s="19"/>
      <c r="K153" s="55"/>
    </row>
    <row r="154" spans="1:12" ht="18" customHeight="1" x14ac:dyDescent="0.25">
      <c r="A154" s="104" t="s">
        <v>27</v>
      </c>
      <c r="B154" s="105"/>
      <c r="C154" s="105"/>
      <c r="D154" s="105"/>
      <c r="E154" s="105"/>
      <c r="F154" s="59" t="str">
        <f>IF(COUNT(J129:J139),AVERAGE(J129:J139),"N/A")</f>
        <v>N/A</v>
      </c>
      <c r="H154" s="58"/>
      <c r="I154" s="58"/>
      <c r="J154" s="53"/>
      <c r="K154" s="55"/>
    </row>
    <row r="155" spans="1:12" ht="18" customHeight="1" x14ac:dyDescent="0.25">
      <c r="A155" s="34"/>
      <c r="B155" s="35"/>
      <c r="C155" s="36"/>
      <c r="D155" s="36"/>
      <c r="E155" s="37"/>
      <c r="F155" s="48"/>
      <c r="G155" s="48"/>
      <c r="H155" s="48"/>
      <c r="I155" s="48"/>
      <c r="J155" s="52"/>
      <c r="K155" s="55"/>
    </row>
    <row r="156" spans="1:12" ht="18" customHeight="1" x14ac:dyDescent="0.25">
      <c r="A156" s="106" t="s">
        <v>28</v>
      </c>
      <c r="B156" s="107"/>
      <c r="C156" s="107"/>
      <c r="D156" s="107"/>
      <c r="E156" s="108"/>
      <c r="F156" s="51" t="str">
        <f>IF(COUNT(J140:J152),AVERAGE(J140:J152),"N/A")</f>
        <v>N/A</v>
      </c>
      <c r="G156" s="54"/>
      <c r="I156" s="53"/>
      <c r="J156" s="53"/>
      <c r="K156" s="55"/>
    </row>
    <row r="157" spans="1:12" ht="18" customHeight="1" x14ac:dyDescent="0.25">
      <c r="A157" s="39"/>
      <c r="B157" s="40"/>
      <c r="C157" s="37"/>
      <c r="D157" s="37"/>
      <c r="E157" s="37"/>
      <c r="F157" s="37"/>
      <c r="G157" s="48"/>
      <c r="H157" s="48"/>
      <c r="I157" s="48"/>
      <c r="J157" s="52"/>
      <c r="K157" s="55"/>
    </row>
    <row r="158" spans="1:12" ht="18" customHeight="1" x14ac:dyDescent="0.25">
      <c r="A158" s="106" t="s">
        <v>29</v>
      </c>
      <c r="B158" s="107"/>
      <c r="C158" s="107"/>
      <c r="D158" s="107"/>
      <c r="E158" s="108"/>
      <c r="F158" s="59" t="str">
        <f>IF(COUNT(J129:J152),AVERAGE(J129:J152),"N/A")</f>
        <v>N/A</v>
      </c>
      <c r="G158" s="58"/>
      <c r="H158" s="58"/>
      <c r="I158" s="58"/>
      <c r="J158" s="53"/>
      <c r="K158" s="55"/>
    </row>
    <row r="159" spans="1:12" ht="18" customHeight="1" x14ac:dyDescent="0.25">
      <c r="A159" s="39"/>
      <c r="B159" s="40"/>
      <c r="C159" s="48"/>
      <c r="D159" s="48"/>
      <c r="E159" s="48"/>
      <c r="F159" s="48"/>
      <c r="G159" s="48"/>
      <c r="H159" s="48"/>
      <c r="I159" s="48"/>
      <c r="J159" s="48"/>
      <c r="K159" s="55"/>
    </row>
    <row r="160" spans="1:12" ht="18" customHeight="1" thickBot="1" x14ac:dyDescent="0.25">
      <c r="A160" s="41"/>
      <c r="B160" s="42"/>
      <c r="C160" s="42"/>
      <c r="D160" s="42"/>
      <c r="E160" s="43"/>
      <c r="F160" s="43"/>
      <c r="G160" s="43"/>
      <c r="H160" s="43"/>
      <c r="I160" s="43"/>
      <c r="J160" s="43"/>
      <c r="K160" s="43"/>
      <c r="L160" s="57"/>
    </row>
    <row r="161" spans="1:11" ht="22.5" customHeight="1" thickTop="1" x14ac:dyDescent="0.3">
      <c r="A161" s="13" t="s">
        <v>17</v>
      </c>
      <c r="B161" s="14"/>
      <c r="C161" s="120"/>
      <c r="D161" s="121"/>
      <c r="E161" s="122"/>
      <c r="F161" s="123" t="s">
        <v>35</v>
      </c>
      <c r="G161" s="124"/>
      <c r="H161" s="15"/>
      <c r="I161" s="15"/>
      <c r="J161" s="50"/>
      <c r="K161" s="16"/>
    </row>
    <row r="162" spans="1:11" ht="13.5" thickBot="1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55"/>
    </row>
    <row r="163" spans="1:11" ht="14.1" customHeight="1" thickTop="1" x14ac:dyDescent="0.2">
      <c r="A163" s="131" t="s">
        <v>36</v>
      </c>
      <c r="B163" s="132"/>
      <c r="C163" s="132"/>
      <c r="D163" s="133"/>
      <c r="E163" s="92" t="s">
        <v>8</v>
      </c>
      <c r="F163" s="93"/>
      <c r="G163" s="93"/>
      <c r="H163" s="93"/>
      <c r="I163" s="93"/>
      <c r="J163" s="94"/>
      <c r="K163" s="101"/>
    </row>
    <row r="164" spans="1:11" ht="14.1" customHeight="1" x14ac:dyDescent="0.2">
      <c r="A164" s="134"/>
      <c r="B164" s="135"/>
      <c r="C164" s="135"/>
      <c r="D164" s="136"/>
      <c r="E164" s="95"/>
      <c r="F164" s="96"/>
      <c r="G164" s="96"/>
      <c r="H164" s="96"/>
      <c r="I164" s="96"/>
      <c r="J164" s="97"/>
      <c r="K164" s="102"/>
    </row>
    <row r="165" spans="1:11" ht="14.1" customHeight="1" thickBot="1" x14ac:dyDescent="0.25">
      <c r="A165" s="137"/>
      <c r="B165" s="138"/>
      <c r="C165" s="138"/>
      <c r="D165" s="139"/>
      <c r="E165" s="98"/>
      <c r="F165" s="99"/>
      <c r="G165" s="99"/>
      <c r="H165" s="99"/>
      <c r="I165" s="99"/>
      <c r="J165" s="100"/>
      <c r="K165" s="103"/>
    </row>
    <row r="166" spans="1:11" ht="20.100000000000001" customHeight="1" thickTop="1" x14ac:dyDescent="0.2">
      <c r="A166" s="128" t="s">
        <v>3</v>
      </c>
      <c r="B166" s="141" t="s">
        <v>41</v>
      </c>
      <c r="C166" s="118" t="s">
        <v>26</v>
      </c>
      <c r="D166" s="140" t="s">
        <v>47</v>
      </c>
      <c r="E166" s="113" t="s">
        <v>0</v>
      </c>
      <c r="F166" s="113" t="s">
        <v>4</v>
      </c>
      <c r="G166" s="113" t="s">
        <v>5</v>
      </c>
      <c r="H166" s="113" t="s">
        <v>6</v>
      </c>
      <c r="I166" s="115" t="s">
        <v>7</v>
      </c>
      <c r="J166" s="125" t="s">
        <v>18</v>
      </c>
      <c r="K166" s="109" t="s">
        <v>83</v>
      </c>
    </row>
    <row r="167" spans="1:11" ht="20.100000000000001" customHeight="1" x14ac:dyDescent="0.2">
      <c r="A167" s="129"/>
      <c r="B167" s="130"/>
      <c r="C167" s="119"/>
      <c r="D167" s="112"/>
      <c r="E167" s="114"/>
      <c r="F167" s="114"/>
      <c r="G167" s="114"/>
      <c r="H167" s="114"/>
      <c r="I167" s="116"/>
      <c r="J167" s="126"/>
      <c r="K167" s="110"/>
    </row>
    <row r="168" spans="1:11" ht="20.100000000000001" customHeight="1" x14ac:dyDescent="0.2">
      <c r="A168" s="129"/>
      <c r="B168" s="130"/>
      <c r="C168" s="119"/>
      <c r="D168" s="112"/>
      <c r="E168" s="114"/>
      <c r="F168" s="114"/>
      <c r="G168" s="114"/>
      <c r="H168" s="114"/>
      <c r="I168" s="117"/>
      <c r="J168" s="127"/>
      <c r="K168" s="111"/>
    </row>
    <row r="169" spans="1:11" ht="21.95" customHeight="1" x14ac:dyDescent="0.25">
      <c r="A169" s="20" t="s">
        <v>85</v>
      </c>
      <c r="B169" s="21" t="str">
        <f ca="1">IF(H169&lt;&gt;"",IF(B169="",NOW(),B169),"")</f>
        <v/>
      </c>
      <c r="C169" s="22"/>
      <c r="D169" s="23"/>
      <c r="E169" s="24"/>
      <c r="F169" s="25"/>
      <c r="G169" s="26"/>
      <c r="H169" s="27"/>
      <c r="I169" s="28" t="str">
        <f t="shared" ref="I169:I178" si="35">IF(F169+G169+H169=0,("N/A"),SUM(F169,G169,H169)/3)</f>
        <v>N/A</v>
      </c>
      <c r="J169" s="56" t="str">
        <f>IF(I169="N/A","N/A",I169-E169)</f>
        <v>N/A</v>
      </c>
      <c r="K169" s="61"/>
    </row>
    <row r="170" spans="1:11" ht="21.95" customHeight="1" x14ac:dyDescent="0.25">
      <c r="A170" s="20" t="s">
        <v>84</v>
      </c>
      <c r="B170" s="21" t="str">
        <f t="shared" ref="B170:B171" ca="1" si="36">IF(H170&lt;&gt;"",IF(B170="",NOW(),B170),"")</f>
        <v/>
      </c>
      <c r="C170" s="22"/>
      <c r="D170" s="23"/>
      <c r="E170" s="24"/>
      <c r="F170" s="25"/>
      <c r="G170" s="26"/>
      <c r="H170" s="27"/>
      <c r="I170" s="28" t="str">
        <f t="shared" si="35"/>
        <v>N/A</v>
      </c>
      <c r="J170" s="56" t="str">
        <f t="shared" ref="J170:J171" si="37">IF(I170="N/A","N/A",I170-E170)</f>
        <v>N/A</v>
      </c>
      <c r="K170" s="61"/>
    </row>
    <row r="171" spans="1:11" ht="21.95" customHeight="1" x14ac:dyDescent="0.25">
      <c r="A171" s="20" t="s">
        <v>38</v>
      </c>
      <c r="B171" s="21" t="str">
        <f t="shared" ca="1" si="36"/>
        <v/>
      </c>
      <c r="C171" s="22"/>
      <c r="D171" s="23"/>
      <c r="E171" s="24"/>
      <c r="F171" s="25"/>
      <c r="G171" s="26"/>
      <c r="H171" s="27"/>
      <c r="I171" s="28" t="str">
        <f t="shared" si="35"/>
        <v>N/A</v>
      </c>
      <c r="J171" s="56" t="str">
        <f t="shared" si="37"/>
        <v>N/A</v>
      </c>
      <c r="K171" s="61"/>
    </row>
    <row r="172" spans="1:11" ht="21.95" customHeight="1" x14ac:dyDescent="0.25">
      <c r="A172" s="20" t="s">
        <v>1</v>
      </c>
      <c r="B172" s="21" t="str">
        <f t="shared" ref="B172:B192" ca="1" si="38">IF(H172&lt;&gt;"",IF(B172="",NOW(),B172),"")</f>
        <v/>
      </c>
      <c r="C172" s="22"/>
      <c r="D172" s="23"/>
      <c r="E172" s="24"/>
      <c r="F172" s="25"/>
      <c r="G172" s="26"/>
      <c r="H172" s="27"/>
      <c r="I172" s="28" t="str">
        <f t="shared" si="35"/>
        <v>N/A</v>
      </c>
      <c r="J172" s="56" t="str">
        <f t="shared" ref="J172" si="39">IF(I172="N/A","N/A",I172-E172)</f>
        <v>N/A</v>
      </c>
      <c r="K172" s="60"/>
    </row>
    <row r="173" spans="1:11" ht="21.95" customHeight="1" x14ac:dyDescent="0.25">
      <c r="A173" s="20" t="s">
        <v>9</v>
      </c>
      <c r="B173" s="21" t="str">
        <f t="shared" ca="1" si="38"/>
        <v/>
      </c>
      <c r="C173" s="22"/>
      <c r="D173" s="23"/>
      <c r="E173" s="24"/>
      <c r="F173" s="25"/>
      <c r="G173" s="26"/>
      <c r="H173" s="27"/>
      <c r="I173" s="28" t="str">
        <f t="shared" si="35"/>
        <v>N/A</v>
      </c>
      <c r="J173" s="56" t="str">
        <f>IF(I173="N/A","N/A",I173-E173)</f>
        <v>N/A</v>
      </c>
      <c r="K173" s="60"/>
    </row>
    <row r="174" spans="1:11" ht="21.95" customHeight="1" x14ac:dyDescent="0.25">
      <c r="A174" s="20" t="s">
        <v>10</v>
      </c>
      <c r="B174" s="21" t="str">
        <f t="shared" ca="1" si="38"/>
        <v/>
      </c>
      <c r="C174" s="22"/>
      <c r="D174" s="23"/>
      <c r="E174" s="24"/>
      <c r="F174" s="25"/>
      <c r="G174" s="26"/>
      <c r="H174" s="27"/>
      <c r="I174" s="28" t="str">
        <f t="shared" si="35"/>
        <v>N/A</v>
      </c>
      <c r="J174" s="56" t="str">
        <f t="shared" ref="J174:J181" si="40">IF(I174="N/A","N/A",I174-E174)</f>
        <v>N/A</v>
      </c>
      <c r="K174" s="60"/>
    </row>
    <row r="175" spans="1:11" ht="21.95" customHeight="1" x14ac:dyDescent="0.25">
      <c r="A175" s="20" t="s">
        <v>11</v>
      </c>
      <c r="B175" s="21" t="str">
        <f t="shared" ca="1" si="38"/>
        <v/>
      </c>
      <c r="C175" s="22"/>
      <c r="D175" s="23"/>
      <c r="E175" s="24"/>
      <c r="F175" s="25"/>
      <c r="G175" s="26"/>
      <c r="H175" s="27"/>
      <c r="I175" s="28" t="str">
        <f t="shared" si="35"/>
        <v>N/A</v>
      </c>
      <c r="J175" s="56" t="str">
        <f t="shared" si="40"/>
        <v>N/A</v>
      </c>
      <c r="K175" s="60"/>
    </row>
    <row r="176" spans="1:11" ht="21.95" customHeight="1" x14ac:dyDescent="0.25">
      <c r="A176" s="20" t="s">
        <v>12</v>
      </c>
      <c r="B176" s="21" t="str">
        <f t="shared" ca="1" si="38"/>
        <v/>
      </c>
      <c r="C176" s="22"/>
      <c r="D176" s="23"/>
      <c r="E176" s="24"/>
      <c r="F176" s="25"/>
      <c r="G176" s="26"/>
      <c r="H176" s="27"/>
      <c r="I176" s="28" t="str">
        <f t="shared" si="35"/>
        <v>N/A</v>
      </c>
      <c r="J176" s="56" t="str">
        <f t="shared" si="40"/>
        <v>N/A</v>
      </c>
      <c r="K176" s="60"/>
    </row>
    <row r="177" spans="1:11" ht="21.95" customHeight="1" x14ac:dyDescent="0.25">
      <c r="A177" s="20" t="s">
        <v>13</v>
      </c>
      <c r="B177" s="21" t="str">
        <f t="shared" ca="1" si="38"/>
        <v/>
      </c>
      <c r="C177" s="22"/>
      <c r="D177" s="23"/>
      <c r="E177" s="24"/>
      <c r="F177" s="25"/>
      <c r="G177" s="26"/>
      <c r="H177" s="27"/>
      <c r="I177" s="28" t="str">
        <f t="shared" si="35"/>
        <v>N/A</v>
      </c>
      <c r="J177" s="56" t="str">
        <f t="shared" si="40"/>
        <v>N/A</v>
      </c>
      <c r="K177" s="60"/>
    </row>
    <row r="178" spans="1:11" ht="21.95" customHeight="1" x14ac:dyDescent="0.25">
      <c r="A178" s="20" t="s">
        <v>14</v>
      </c>
      <c r="B178" s="21" t="str">
        <f t="shared" ca="1" si="38"/>
        <v/>
      </c>
      <c r="C178" s="22"/>
      <c r="D178" s="23"/>
      <c r="E178" s="24"/>
      <c r="F178" s="25"/>
      <c r="G178" s="26"/>
      <c r="H178" s="27"/>
      <c r="I178" s="28" t="str">
        <f t="shared" si="35"/>
        <v>N/A</v>
      </c>
      <c r="J178" s="56" t="str">
        <f t="shared" si="40"/>
        <v>N/A</v>
      </c>
      <c r="K178" s="60"/>
    </row>
    <row r="179" spans="1:11" ht="21.95" customHeight="1" x14ac:dyDescent="0.25">
      <c r="A179" s="20" t="s">
        <v>15</v>
      </c>
      <c r="B179" s="21" t="str">
        <f t="shared" ca="1" si="38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40"/>
        <v>N/A</v>
      </c>
      <c r="K179" s="83"/>
    </row>
    <row r="180" spans="1:11" ht="21.95" customHeight="1" x14ac:dyDescent="0.25">
      <c r="A180" s="30" t="s">
        <v>16</v>
      </c>
      <c r="B180" s="21" t="str">
        <f t="shared" ca="1" si="38"/>
        <v/>
      </c>
      <c r="C180" s="22"/>
      <c r="D180" s="23"/>
      <c r="E180" s="24"/>
      <c r="F180" s="25"/>
      <c r="G180" s="26"/>
      <c r="H180" s="27"/>
      <c r="I180" s="28" t="str">
        <f>IF(F180+G180+H180=0,("N/A"),SUM(F180,G180,H180)/3)</f>
        <v>N/A</v>
      </c>
      <c r="J180" s="56" t="str">
        <f t="shared" si="40"/>
        <v>N/A</v>
      </c>
      <c r="K180" s="83"/>
    </row>
    <row r="181" spans="1:11" ht="21.95" customHeight="1" x14ac:dyDescent="0.25">
      <c r="A181" s="31" t="s">
        <v>39</v>
      </c>
      <c r="B181" s="21" t="str">
        <f t="shared" ca="1" si="38"/>
        <v/>
      </c>
      <c r="C181" s="22"/>
      <c r="D181" s="23"/>
      <c r="E181" s="24"/>
      <c r="F181" s="25"/>
      <c r="G181" s="26"/>
      <c r="H181" s="27"/>
      <c r="I181" s="28" t="str">
        <f>IF(F181+G181+H181=0,("N/A"),SUM(F181,G181,H181)/3)</f>
        <v>N/A</v>
      </c>
      <c r="J181" s="56" t="str">
        <f t="shared" si="40"/>
        <v>N/A</v>
      </c>
      <c r="K181" s="83"/>
    </row>
    <row r="182" spans="1:11" ht="21.95" customHeight="1" x14ac:dyDescent="0.25">
      <c r="A182" s="31" t="s">
        <v>19</v>
      </c>
      <c r="B182" s="21" t="str">
        <f t="shared" ca="1" si="38"/>
        <v/>
      </c>
      <c r="C182" s="22"/>
      <c r="D182" s="23"/>
      <c r="E182" s="24"/>
      <c r="F182" s="25"/>
      <c r="G182" s="26"/>
      <c r="H182" s="27"/>
      <c r="I182" s="28" t="str">
        <f t="shared" ref="I182:I192" si="41">IF(F182+G182+H182=0,("N/A"),SUM(F182,G182,H182)/3)</f>
        <v>N/A</v>
      </c>
      <c r="J182" s="56" t="str">
        <f>IF(I182="N/A","N/A",I182-E182)</f>
        <v>N/A</v>
      </c>
      <c r="K182" s="83"/>
    </row>
    <row r="183" spans="1:11" ht="21.95" customHeight="1" x14ac:dyDescent="0.25">
      <c r="A183" s="31" t="s">
        <v>20</v>
      </c>
      <c r="B183" s="21" t="str">
        <f t="shared" ca="1" si="38"/>
        <v/>
      </c>
      <c r="C183" s="22"/>
      <c r="D183" s="23"/>
      <c r="E183" s="24"/>
      <c r="F183" s="25"/>
      <c r="G183" s="26"/>
      <c r="H183" s="27"/>
      <c r="I183" s="28" t="str">
        <f t="shared" si="41"/>
        <v>N/A</v>
      </c>
      <c r="J183" s="56" t="str">
        <f t="shared" ref="J183:J192" si="42">IF(I183="N/A","N/A",I183-E183)</f>
        <v>N/A</v>
      </c>
      <c r="K183" s="83"/>
    </row>
    <row r="184" spans="1:11" ht="21.95" customHeight="1" x14ac:dyDescent="0.25">
      <c r="A184" s="31" t="s">
        <v>21</v>
      </c>
      <c r="B184" s="21" t="str">
        <f t="shared" ca="1" si="38"/>
        <v/>
      </c>
      <c r="C184" s="22"/>
      <c r="D184" s="23"/>
      <c r="E184" s="24"/>
      <c r="F184" s="25"/>
      <c r="G184" s="26"/>
      <c r="H184" s="27"/>
      <c r="I184" s="28" t="str">
        <f t="shared" si="41"/>
        <v>N/A</v>
      </c>
      <c r="J184" s="56" t="str">
        <f t="shared" si="42"/>
        <v>N/A</v>
      </c>
      <c r="K184" s="83"/>
    </row>
    <row r="185" spans="1:11" ht="21.95" customHeight="1" x14ac:dyDescent="0.25">
      <c r="A185" s="31" t="s">
        <v>2</v>
      </c>
      <c r="B185" s="21" t="str">
        <f t="shared" ca="1" si="38"/>
        <v/>
      </c>
      <c r="C185" s="22"/>
      <c r="D185" s="23"/>
      <c r="E185" s="24"/>
      <c r="F185" s="25"/>
      <c r="G185" s="26"/>
      <c r="H185" s="27"/>
      <c r="I185" s="28" t="str">
        <f t="shared" si="41"/>
        <v>N/A</v>
      </c>
      <c r="J185" s="56" t="str">
        <f t="shared" si="42"/>
        <v>N/A</v>
      </c>
      <c r="K185" s="83"/>
    </row>
    <row r="186" spans="1:11" ht="21.95" customHeight="1" x14ac:dyDescent="0.25">
      <c r="A186" s="31" t="s">
        <v>22</v>
      </c>
      <c r="B186" s="21" t="str">
        <f t="shared" ca="1" si="38"/>
        <v/>
      </c>
      <c r="C186" s="22"/>
      <c r="D186" s="23"/>
      <c r="E186" s="24"/>
      <c r="F186" s="25"/>
      <c r="G186" s="26"/>
      <c r="H186" s="27"/>
      <c r="I186" s="28" t="str">
        <f t="shared" si="41"/>
        <v>N/A</v>
      </c>
      <c r="J186" s="56" t="str">
        <f t="shared" si="42"/>
        <v>N/A</v>
      </c>
      <c r="K186" s="60"/>
    </row>
    <row r="187" spans="1:11" ht="21.95" customHeight="1" x14ac:dyDescent="0.25">
      <c r="A187" s="31" t="s">
        <v>23</v>
      </c>
      <c r="B187" s="21" t="str">
        <f t="shared" ca="1" si="38"/>
        <v/>
      </c>
      <c r="C187" s="22"/>
      <c r="D187" s="23"/>
      <c r="E187" s="24"/>
      <c r="F187" s="25"/>
      <c r="G187" s="26"/>
      <c r="H187" s="27"/>
      <c r="I187" s="28" t="str">
        <f t="shared" si="41"/>
        <v>N/A</v>
      </c>
      <c r="J187" s="56" t="str">
        <f t="shared" si="42"/>
        <v>N/A</v>
      </c>
      <c r="K187" s="60"/>
    </row>
    <row r="188" spans="1:11" ht="21.95" customHeight="1" x14ac:dyDescent="0.25">
      <c r="A188" s="31" t="s">
        <v>24</v>
      </c>
      <c r="B188" s="21" t="str">
        <f t="shared" ca="1" si="38"/>
        <v/>
      </c>
      <c r="C188" s="22"/>
      <c r="D188" s="23"/>
      <c r="E188" s="24"/>
      <c r="F188" s="25"/>
      <c r="G188" s="26"/>
      <c r="H188" s="27"/>
      <c r="I188" s="28" t="str">
        <f t="shared" si="41"/>
        <v>N/A</v>
      </c>
      <c r="J188" s="56" t="str">
        <f t="shared" si="42"/>
        <v>N/A</v>
      </c>
      <c r="K188" s="60"/>
    </row>
    <row r="189" spans="1:11" ht="21.95" customHeight="1" x14ac:dyDescent="0.25">
      <c r="A189" s="87" t="s">
        <v>25</v>
      </c>
      <c r="B189" s="21" t="str">
        <f t="shared" ca="1" si="38"/>
        <v/>
      </c>
      <c r="C189" s="22"/>
      <c r="D189" s="23"/>
      <c r="E189" s="24"/>
      <c r="F189" s="25"/>
      <c r="G189" s="26"/>
      <c r="H189" s="27"/>
      <c r="I189" s="28" t="str">
        <f t="shared" si="41"/>
        <v>N/A</v>
      </c>
      <c r="J189" s="56" t="str">
        <f t="shared" si="42"/>
        <v>N/A</v>
      </c>
      <c r="K189" s="88"/>
    </row>
    <row r="190" spans="1:11" ht="21.95" customHeight="1" x14ac:dyDescent="0.25">
      <c r="A190" s="87" t="s">
        <v>77</v>
      </c>
      <c r="B190" s="21" t="str">
        <f t="shared" ca="1" si="38"/>
        <v/>
      </c>
      <c r="C190" s="22"/>
      <c r="D190" s="23"/>
      <c r="E190" s="24"/>
      <c r="F190" s="25"/>
      <c r="G190" s="26"/>
      <c r="H190" s="27"/>
      <c r="I190" s="28" t="str">
        <f t="shared" si="41"/>
        <v>N/A</v>
      </c>
      <c r="J190" s="56" t="str">
        <f t="shared" si="42"/>
        <v>N/A</v>
      </c>
      <c r="K190" s="88"/>
    </row>
    <row r="191" spans="1:11" ht="21.95" customHeight="1" x14ac:dyDescent="0.25">
      <c r="A191" s="87" t="s">
        <v>86</v>
      </c>
      <c r="B191" s="21" t="str">
        <f t="shared" ca="1" si="38"/>
        <v/>
      </c>
      <c r="C191" s="22"/>
      <c r="D191" s="23"/>
      <c r="E191" s="24"/>
      <c r="F191" s="25"/>
      <c r="G191" s="26"/>
      <c r="H191" s="27"/>
      <c r="I191" s="28" t="str">
        <f t="shared" si="41"/>
        <v>N/A</v>
      </c>
      <c r="J191" s="56" t="str">
        <f t="shared" si="42"/>
        <v>N/A</v>
      </c>
      <c r="K191" s="88"/>
    </row>
    <row r="192" spans="1:11" ht="21.95" customHeight="1" thickBot="1" x14ac:dyDescent="0.3">
      <c r="A192" s="33" t="s">
        <v>87</v>
      </c>
      <c r="B192" s="21" t="str">
        <f t="shared" ca="1" si="38"/>
        <v/>
      </c>
      <c r="C192" s="22"/>
      <c r="D192" s="23"/>
      <c r="E192" s="24"/>
      <c r="F192" s="25"/>
      <c r="G192" s="26"/>
      <c r="H192" s="27"/>
      <c r="I192" s="28" t="str">
        <f t="shared" si="41"/>
        <v>N/A</v>
      </c>
      <c r="J192" s="56" t="str">
        <f t="shared" si="42"/>
        <v>N/A</v>
      </c>
      <c r="K192" s="83"/>
    </row>
    <row r="193" spans="1:12" ht="18" customHeight="1" x14ac:dyDescent="0.2">
      <c r="A193" s="18"/>
      <c r="B193" s="19"/>
      <c r="C193" s="19"/>
      <c r="D193" s="19"/>
      <c r="E193" s="19"/>
      <c r="F193" s="19"/>
      <c r="G193" s="19"/>
      <c r="H193" s="19"/>
      <c r="I193" s="19"/>
      <c r="J193" s="19"/>
      <c r="K193" s="55"/>
    </row>
    <row r="194" spans="1:12" ht="18" customHeight="1" x14ac:dyDescent="0.25">
      <c r="A194" s="104" t="s">
        <v>27</v>
      </c>
      <c r="B194" s="105"/>
      <c r="C194" s="105"/>
      <c r="D194" s="105"/>
      <c r="E194" s="105"/>
      <c r="F194" s="59" t="str">
        <f>IF(COUNT(J169:J179),AVERAGE(J169:J179),"N/A")</f>
        <v>N/A</v>
      </c>
      <c r="H194" s="58"/>
      <c r="I194" s="58"/>
      <c r="J194" s="53"/>
      <c r="K194" s="55"/>
    </row>
    <row r="195" spans="1:12" ht="18" customHeight="1" x14ac:dyDescent="0.25">
      <c r="A195" s="34"/>
      <c r="B195" s="35"/>
      <c r="C195" s="36"/>
      <c r="D195" s="36"/>
      <c r="E195" s="37"/>
      <c r="F195" s="49"/>
      <c r="G195" s="49"/>
      <c r="H195" s="49"/>
      <c r="I195" s="49"/>
      <c r="J195" s="52"/>
      <c r="K195" s="55"/>
    </row>
    <row r="196" spans="1:12" ht="18" customHeight="1" x14ac:dyDescent="0.25">
      <c r="A196" s="106" t="s">
        <v>28</v>
      </c>
      <c r="B196" s="107"/>
      <c r="C196" s="107"/>
      <c r="D196" s="107"/>
      <c r="E196" s="108"/>
      <c r="F196" s="51" t="str">
        <f>IF(COUNT(J180:J192),AVERAGE(J180:J192),"N/A")</f>
        <v>N/A</v>
      </c>
      <c r="G196" s="54"/>
      <c r="I196" s="53"/>
      <c r="J196" s="53"/>
      <c r="K196" s="55"/>
    </row>
    <row r="197" spans="1:12" ht="18" customHeight="1" x14ac:dyDescent="0.25">
      <c r="A197" s="39"/>
      <c r="B197" s="40"/>
      <c r="C197" s="37"/>
      <c r="D197" s="37"/>
      <c r="E197" s="37"/>
      <c r="F197" s="37"/>
      <c r="G197" s="49"/>
      <c r="H197" s="49"/>
      <c r="I197" s="49"/>
      <c r="J197" s="52"/>
      <c r="K197" s="55"/>
    </row>
    <row r="198" spans="1:12" ht="18" customHeight="1" x14ac:dyDescent="0.25">
      <c r="A198" s="106" t="s">
        <v>29</v>
      </c>
      <c r="B198" s="107"/>
      <c r="C198" s="107"/>
      <c r="D198" s="107"/>
      <c r="E198" s="108"/>
      <c r="F198" s="59" t="str">
        <f>IF(COUNT(J169:J192),AVERAGE(J169:J192),"N/A")</f>
        <v>N/A</v>
      </c>
      <c r="G198" s="58"/>
      <c r="H198" s="58"/>
      <c r="I198" s="58"/>
      <c r="J198" s="53"/>
      <c r="K198" s="55"/>
    </row>
    <row r="199" spans="1:12" ht="18" customHeight="1" x14ac:dyDescent="0.25">
      <c r="A199" s="39"/>
      <c r="B199" s="40"/>
      <c r="C199" s="49"/>
      <c r="D199" s="49"/>
      <c r="E199" s="49"/>
      <c r="F199" s="49"/>
      <c r="G199" s="49"/>
      <c r="H199" s="49"/>
      <c r="I199" s="49"/>
      <c r="J199" s="49"/>
      <c r="K199" s="55"/>
    </row>
    <row r="200" spans="1:12" ht="18" customHeight="1" thickBot="1" x14ac:dyDescent="0.25">
      <c r="A200" s="41"/>
      <c r="B200" s="42"/>
      <c r="C200" s="42"/>
      <c r="D200" s="42"/>
      <c r="E200" s="43"/>
      <c r="F200" s="43"/>
      <c r="G200" s="43"/>
      <c r="H200" s="43"/>
      <c r="I200" s="43"/>
      <c r="J200" s="43"/>
      <c r="K200" s="43"/>
      <c r="L200" s="57"/>
    </row>
    <row r="201" spans="1:12" ht="22.5" customHeight="1" thickTop="1" x14ac:dyDescent="0.3">
      <c r="A201" s="13" t="s">
        <v>17</v>
      </c>
      <c r="B201" s="14"/>
      <c r="C201" s="120"/>
      <c r="D201" s="121"/>
      <c r="E201" s="122"/>
      <c r="F201" s="123" t="s">
        <v>34</v>
      </c>
      <c r="G201" s="124"/>
      <c r="H201" s="15"/>
      <c r="I201" s="15"/>
      <c r="J201" s="50"/>
      <c r="K201" s="16"/>
    </row>
    <row r="202" spans="1:12" ht="13.5" thickBot="1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55"/>
    </row>
    <row r="203" spans="1:12" ht="14.1" customHeight="1" thickTop="1" x14ac:dyDescent="0.2">
      <c r="A203" s="131" t="s">
        <v>36</v>
      </c>
      <c r="B203" s="132"/>
      <c r="C203" s="132"/>
      <c r="D203" s="133"/>
      <c r="E203" s="92" t="s">
        <v>8</v>
      </c>
      <c r="F203" s="93"/>
      <c r="G203" s="93"/>
      <c r="H203" s="93"/>
      <c r="I203" s="93"/>
      <c r="J203" s="94"/>
      <c r="K203" s="101"/>
    </row>
    <row r="204" spans="1:12" ht="14.1" customHeight="1" x14ac:dyDescent="0.2">
      <c r="A204" s="134"/>
      <c r="B204" s="135"/>
      <c r="C204" s="135"/>
      <c r="D204" s="136"/>
      <c r="E204" s="95"/>
      <c r="F204" s="96"/>
      <c r="G204" s="96"/>
      <c r="H204" s="96"/>
      <c r="I204" s="96"/>
      <c r="J204" s="97"/>
      <c r="K204" s="102"/>
    </row>
    <row r="205" spans="1:12" ht="14.1" customHeight="1" thickBot="1" x14ac:dyDescent="0.25">
      <c r="A205" s="137"/>
      <c r="B205" s="138"/>
      <c r="C205" s="138"/>
      <c r="D205" s="139"/>
      <c r="E205" s="98"/>
      <c r="F205" s="99"/>
      <c r="G205" s="99"/>
      <c r="H205" s="99"/>
      <c r="I205" s="99"/>
      <c r="J205" s="100"/>
      <c r="K205" s="103"/>
    </row>
    <row r="206" spans="1:12" ht="20.100000000000001" customHeight="1" thickTop="1" x14ac:dyDescent="0.2">
      <c r="A206" s="128" t="s">
        <v>3</v>
      </c>
      <c r="B206" s="141" t="s">
        <v>41</v>
      </c>
      <c r="C206" s="118" t="s">
        <v>26</v>
      </c>
      <c r="D206" s="140" t="s">
        <v>47</v>
      </c>
      <c r="E206" s="113" t="s">
        <v>0</v>
      </c>
      <c r="F206" s="113" t="s">
        <v>4</v>
      </c>
      <c r="G206" s="113" t="s">
        <v>5</v>
      </c>
      <c r="H206" s="113" t="s">
        <v>6</v>
      </c>
      <c r="I206" s="115" t="s">
        <v>7</v>
      </c>
      <c r="J206" s="125" t="s">
        <v>18</v>
      </c>
      <c r="K206" s="109" t="s">
        <v>83</v>
      </c>
    </row>
    <row r="207" spans="1:12" ht="20.100000000000001" customHeight="1" x14ac:dyDescent="0.2">
      <c r="A207" s="129"/>
      <c r="B207" s="130"/>
      <c r="C207" s="119"/>
      <c r="D207" s="112"/>
      <c r="E207" s="114"/>
      <c r="F207" s="114"/>
      <c r="G207" s="114"/>
      <c r="H207" s="114"/>
      <c r="I207" s="116"/>
      <c r="J207" s="126"/>
      <c r="K207" s="110"/>
    </row>
    <row r="208" spans="1:12" ht="20.100000000000001" customHeight="1" x14ac:dyDescent="0.2">
      <c r="A208" s="129"/>
      <c r="B208" s="130"/>
      <c r="C208" s="119"/>
      <c r="D208" s="112"/>
      <c r="E208" s="114"/>
      <c r="F208" s="114"/>
      <c r="G208" s="114"/>
      <c r="H208" s="114"/>
      <c r="I208" s="117"/>
      <c r="J208" s="127"/>
      <c r="K208" s="111"/>
    </row>
    <row r="209" spans="1:11" ht="21.95" customHeight="1" x14ac:dyDescent="0.25">
      <c r="A209" s="20" t="s">
        <v>85</v>
      </c>
      <c r="B209" s="21" t="str">
        <f ca="1">IF(H209&lt;&gt;"",IF(B209="",NOW(),B209),"")</f>
        <v/>
      </c>
      <c r="C209" s="22"/>
      <c r="D209" s="23"/>
      <c r="E209" s="24"/>
      <c r="F209" s="25"/>
      <c r="G209" s="26"/>
      <c r="H209" s="27"/>
      <c r="I209" s="28" t="str">
        <f t="shared" ref="I209:I218" si="43">IF(F209+G209+H209=0,("N/A"),SUM(F209,G209,H209)/3)</f>
        <v>N/A</v>
      </c>
      <c r="J209" s="56" t="str">
        <f>IF(I209="N/A","N/A",I209-E209)</f>
        <v>N/A</v>
      </c>
      <c r="K209" s="61"/>
    </row>
    <row r="210" spans="1:11" ht="21.95" customHeight="1" x14ac:dyDescent="0.25">
      <c r="A210" s="20" t="s">
        <v>84</v>
      </c>
      <c r="B210" s="21" t="str">
        <f t="shared" ref="B210:B211" ca="1" si="44">IF(H210&lt;&gt;"",IF(B210="",NOW(),B210),"")</f>
        <v/>
      </c>
      <c r="C210" s="22"/>
      <c r="D210" s="23"/>
      <c r="E210" s="24"/>
      <c r="F210" s="25"/>
      <c r="G210" s="26"/>
      <c r="H210" s="27"/>
      <c r="I210" s="28" t="str">
        <f t="shared" si="43"/>
        <v>N/A</v>
      </c>
      <c r="J210" s="56" t="str">
        <f t="shared" ref="J210:J211" si="45">IF(I210="N/A","N/A",I210-E210)</f>
        <v>N/A</v>
      </c>
      <c r="K210" s="61"/>
    </row>
    <row r="211" spans="1:11" ht="21.95" customHeight="1" x14ac:dyDescent="0.25">
      <c r="A211" s="20" t="s">
        <v>38</v>
      </c>
      <c r="B211" s="21" t="str">
        <f t="shared" ca="1" si="44"/>
        <v/>
      </c>
      <c r="C211" s="22"/>
      <c r="D211" s="23"/>
      <c r="E211" s="24"/>
      <c r="F211" s="25"/>
      <c r="G211" s="26"/>
      <c r="H211" s="27"/>
      <c r="I211" s="28" t="str">
        <f t="shared" si="43"/>
        <v>N/A</v>
      </c>
      <c r="J211" s="56" t="str">
        <f t="shared" si="45"/>
        <v>N/A</v>
      </c>
      <c r="K211" s="61"/>
    </row>
    <row r="212" spans="1:11" ht="21.95" customHeight="1" x14ac:dyDescent="0.25">
      <c r="A212" s="20" t="s">
        <v>1</v>
      </c>
      <c r="B212" s="21" t="str">
        <f t="shared" ref="B212:B232" ca="1" si="46">IF(H212&lt;&gt;"",IF(B212="",NOW(),B212),"")</f>
        <v/>
      </c>
      <c r="C212" s="22"/>
      <c r="D212" s="23"/>
      <c r="E212" s="24"/>
      <c r="F212" s="25"/>
      <c r="G212" s="26"/>
      <c r="H212" s="27"/>
      <c r="I212" s="28" t="str">
        <f t="shared" si="43"/>
        <v>N/A</v>
      </c>
      <c r="J212" s="56" t="str">
        <f t="shared" ref="J212" si="47">IF(I212="N/A","N/A",I212-E212)</f>
        <v>N/A</v>
      </c>
      <c r="K212" s="60"/>
    </row>
    <row r="213" spans="1:11" ht="21.95" customHeight="1" x14ac:dyDescent="0.25">
      <c r="A213" s="20" t="s">
        <v>9</v>
      </c>
      <c r="B213" s="21" t="str">
        <f t="shared" ca="1" si="46"/>
        <v/>
      </c>
      <c r="C213" s="22"/>
      <c r="D213" s="23"/>
      <c r="E213" s="24"/>
      <c r="F213" s="25"/>
      <c r="G213" s="26"/>
      <c r="H213" s="27"/>
      <c r="I213" s="28" t="str">
        <f t="shared" si="43"/>
        <v>N/A</v>
      </c>
      <c r="J213" s="56" t="str">
        <f>IF(I213="N/A","N/A",I213-E213)</f>
        <v>N/A</v>
      </c>
      <c r="K213" s="60"/>
    </row>
    <row r="214" spans="1:11" ht="21.95" customHeight="1" x14ac:dyDescent="0.25">
      <c r="A214" s="20" t="s">
        <v>10</v>
      </c>
      <c r="B214" s="21" t="str">
        <f t="shared" ca="1" si="46"/>
        <v/>
      </c>
      <c r="C214" s="22"/>
      <c r="D214" s="23"/>
      <c r="E214" s="24"/>
      <c r="F214" s="25"/>
      <c r="G214" s="26"/>
      <c r="H214" s="27"/>
      <c r="I214" s="28" t="str">
        <f t="shared" si="43"/>
        <v>N/A</v>
      </c>
      <c r="J214" s="56" t="str">
        <f t="shared" ref="J214:J221" si="48">IF(I214="N/A","N/A",I214-E214)</f>
        <v>N/A</v>
      </c>
      <c r="K214" s="60"/>
    </row>
    <row r="215" spans="1:11" ht="21.95" customHeight="1" x14ac:dyDescent="0.25">
      <c r="A215" s="20" t="s">
        <v>11</v>
      </c>
      <c r="B215" s="21" t="str">
        <f t="shared" ca="1" si="46"/>
        <v/>
      </c>
      <c r="C215" s="22"/>
      <c r="D215" s="23"/>
      <c r="E215" s="24"/>
      <c r="F215" s="25"/>
      <c r="G215" s="26"/>
      <c r="H215" s="27"/>
      <c r="I215" s="28" t="str">
        <f t="shared" si="43"/>
        <v>N/A</v>
      </c>
      <c r="J215" s="56" t="str">
        <f t="shared" si="48"/>
        <v>N/A</v>
      </c>
      <c r="K215" s="60"/>
    </row>
    <row r="216" spans="1:11" ht="21.95" customHeight="1" x14ac:dyDescent="0.25">
      <c r="A216" s="20" t="s">
        <v>12</v>
      </c>
      <c r="B216" s="21" t="str">
        <f t="shared" ca="1" si="46"/>
        <v/>
      </c>
      <c r="C216" s="22"/>
      <c r="D216" s="23"/>
      <c r="E216" s="24"/>
      <c r="F216" s="25"/>
      <c r="G216" s="26"/>
      <c r="H216" s="27"/>
      <c r="I216" s="28" t="str">
        <f t="shared" si="43"/>
        <v>N/A</v>
      </c>
      <c r="J216" s="56" t="str">
        <f t="shared" si="48"/>
        <v>N/A</v>
      </c>
      <c r="K216" s="60"/>
    </row>
    <row r="217" spans="1:11" ht="21.95" customHeight="1" x14ac:dyDescent="0.25">
      <c r="A217" s="20" t="s">
        <v>13</v>
      </c>
      <c r="B217" s="21" t="str">
        <f t="shared" ca="1" si="46"/>
        <v/>
      </c>
      <c r="C217" s="22"/>
      <c r="D217" s="23"/>
      <c r="E217" s="24"/>
      <c r="F217" s="25"/>
      <c r="G217" s="26"/>
      <c r="H217" s="27"/>
      <c r="I217" s="28" t="str">
        <f t="shared" si="43"/>
        <v>N/A</v>
      </c>
      <c r="J217" s="56" t="str">
        <f t="shared" si="48"/>
        <v>N/A</v>
      </c>
      <c r="K217" s="60"/>
    </row>
    <row r="218" spans="1:11" ht="21.95" customHeight="1" x14ac:dyDescent="0.25">
      <c r="A218" s="20" t="s">
        <v>14</v>
      </c>
      <c r="B218" s="21" t="str">
        <f t="shared" ca="1" si="46"/>
        <v/>
      </c>
      <c r="C218" s="22"/>
      <c r="D218" s="23"/>
      <c r="E218" s="24"/>
      <c r="F218" s="25"/>
      <c r="G218" s="26"/>
      <c r="H218" s="27"/>
      <c r="I218" s="28" t="str">
        <f t="shared" si="43"/>
        <v>N/A</v>
      </c>
      <c r="J218" s="56" t="str">
        <f t="shared" si="48"/>
        <v>N/A</v>
      </c>
      <c r="K218" s="60"/>
    </row>
    <row r="219" spans="1:11" ht="21.95" customHeight="1" x14ac:dyDescent="0.25">
      <c r="A219" s="20" t="s">
        <v>15</v>
      </c>
      <c r="B219" s="21" t="str">
        <f t="shared" ca="1" si="46"/>
        <v/>
      </c>
      <c r="C219" s="22"/>
      <c r="D219" s="23"/>
      <c r="E219" s="24"/>
      <c r="F219" s="25"/>
      <c r="G219" s="26"/>
      <c r="H219" s="27"/>
      <c r="I219" s="28" t="str">
        <f>IF(F219+G219+H219=0,("N/A"),SUM(F219,G219,H219)/3)</f>
        <v>N/A</v>
      </c>
      <c r="J219" s="56" t="str">
        <f t="shared" si="48"/>
        <v>N/A</v>
      </c>
      <c r="K219" s="83"/>
    </row>
    <row r="220" spans="1:11" ht="21.95" customHeight="1" x14ac:dyDescent="0.25">
      <c r="A220" s="30" t="s">
        <v>16</v>
      </c>
      <c r="B220" s="21" t="str">
        <f t="shared" ca="1" si="46"/>
        <v/>
      </c>
      <c r="C220" s="22"/>
      <c r="D220" s="23"/>
      <c r="E220" s="24"/>
      <c r="F220" s="25"/>
      <c r="G220" s="26"/>
      <c r="H220" s="27"/>
      <c r="I220" s="28" t="str">
        <f>IF(F220+G220+H220=0,("N/A"),SUM(F220,G220,H220)/3)</f>
        <v>N/A</v>
      </c>
      <c r="J220" s="56" t="str">
        <f t="shared" si="48"/>
        <v>N/A</v>
      </c>
      <c r="K220" s="83"/>
    </row>
    <row r="221" spans="1:11" ht="21.95" customHeight="1" x14ac:dyDescent="0.25">
      <c r="A221" s="31" t="s">
        <v>39</v>
      </c>
      <c r="B221" s="21" t="str">
        <f t="shared" ca="1" si="46"/>
        <v/>
      </c>
      <c r="C221" s="22"/>
      <c r="D221" s="23"/>
      <c r="E221" s="24"/>
      <c r="F221" s="25"/>
      <c r="G221" s="26"/>
      <c r="H221" s="27"/>
      <c r="I221" s="28" t="str">
        <f>IF(F221+G221+H221=0,("N/A"),SUM(F221,G221,H221)/3)</f>
        <v>N/A</v>
      </c>
      <c r="J221" s="56" t="str">
        <f t="shared" si="48"/>
        <v>N/A</v>
      </c>
      <c r="K221" s="83"/>
    </row>
    <row r="222" spans="1:11" ht="21.95" customHeight="1" x14ac:dyDescent="0.25">
      <c r="A222" s="31" t="s">
        <v>19</v>
      </c>
      <c r="B222" s="21" t="str">
        <f t="shared" ca="1" si="46"/>
        <v/>
      </c>
      <c r="C222" s="22"/>
      <c r="D222" s="23"/>
      <c r="E222" s="24"/>
      <c r="F222" s="25"/>
      <c r="G222" s="26"/>
      <c r="H222" s="27"/>
      <c r="I222" s="28" t="str">
        <f t="shared" ref="I222:I232" si="49">IF(F222+G222+H222=0,("N/A"),SUM(F222,G222,H222)/3)</f>
        <v>N/A</v>
      </c>
      <c r="J222" s="56" t="str">
        <f>IF(I222="N/A","N/A",I222-E222)</f>
        <v>N/A</v>
      </c>
      <c r="K222" s="83"/>
    </row>
    <row r="223" spans="1:11" ht="21.95" customHeight="1" x14ac:dyDescent="0.25">
      <c r="A223" s="31" t="s">
        <v>20</v>
      </c>
      <c r="B223" s="21" t="str">
        <f t="shared" ca="1" si="46"/>
        <v/>
      </c>
      <c r="C223" s="22"/>
      <c r="D223" s="23"/>
      <c r="E223" s="24"/>
      <c r="F223" s="25"/>
      <c r="G223" s="26"/>
      <c r="H223" s="27"/>
      <c r="I223" s="28" t="str">
        <f t="shared" si="49"/>
        <v>N/A</v>
      </c>
      <c r="J223" s="56" t="str">
        <f t="shared" ref="J223:J232" si="50">IF(I223="N/A","N/A",I223-E223)</f>
        <v>N/A</v>
      </c>
      <c r="K223" s="83"/>
    </row>
    <row r="224" spans="1:11" ht="21.95" customHeight="1" x14ac:dyDescent="0.25">
      <c r="A224" s="31" t="s">
        <v>21</v>
      </c>
      <c r="B224" s="21" t="str">
        <f t="shared" ca="1" si="46"/>
        <v/>
      </c>
      <c r="C224" s="22"/>
      <c r="D224" s="23"/>
      <c r="E224" s="24"/>
      <c r="F224" s="25"/>
      <c r="G224" s="26"/>
      <c r="H224" s="27"/>
      <c r="I224" s="28" t="str">
        <f t="shared" si="49"/>
        <v>N/A</v>
      </c>
      <c r="J224" s="56" t="str">
        <f t="shared" si="50"/>
        <v>N/A</v>
      </c>
      <c r="K224" s="83"/>
    </row>
    <row r="225" spans="1:12" ht="21.95" customHeight="1" x14ac:dyDescent="0.25">
      <c r="A225" s="31" t="s">
        <v>2</v>
      </c>
      <c r="B225" s="21" t="str">
        <f t="shared" ca="1" si="46"/>
        <v/>
      </c>
      <c r="C225" s="22"/>
      <c r="D225" s="23"/>
      <c r="E225" s="24"/>
      <c r="F225" s="25"/>
      <c r="G225" s="26"/>
      <c r="H225" s="27"/>
      <c r="I225" s="28" t="str">
        <f t="shared" si="49"/>
        <v>N/A</v>
      </c>
      <c r="J225" s="56" t="str">
        <f t="shared" si="50"/>
        <v>N/A</v>
      </c>
      <c r="K225" s="83"/>
    </row>
    <row r="226" spans="1:12" ht="21.95" customHeight="1" x14ac:dyDescent="0.25">
      <c r="A226" s="31" t="s">
        <v>22</v>
      </c>
      <c r="B226" s="21" t="str">
        <f t="shared" ca="1" si="46"/>
        <v/>
      </c>
      <c r="C226" s="22"/>
      <c r="D226" s="23"/>
      <c r="E226" s="24"/>
      <c r="F226" s="25"/>
      <c r="G226" s="26"/>
      <c r="H226" s="27"/>
      <c r="I226" s="28" t="str">
        <f t="shared" si="49"/>
        <v>N/A</v>
      </c>
      <c r="J226" s="56" t="str">
        <f t="shared" si="50"/>
        <v>N/A</v>
      </c>
      <c r="K226" s="60"/>
    </row>
    <row r="227" spans="1:12" ht="21.95" customHeight="1" x14ac:dyDescent="0.25">
      <c r="A227" s="31" t="s">
        <v>23</v>
      </c>
      <c r="B227" s="21" t="str">
        <f t="shared" ca="1" si="46"/>
        <v/>
      </c>
      <c r="C227" s="22"/>
      <c r="D227" s="23"/>
      <c r="E227" s="24"/>
      <c r="F227" s="25"/>
      <c r="G227" s="26"/>
      <c r="H227" s="27"/>
      <c r="I227" s="28" t="str">
        <f t="shared" si="49"/>
        <v>N/A</v>
      </c>
      <c r="J227" s="56" t="str">
        <f t="shared" si="50"/>
        <v>N/A</v>
      </c>
      <c r="K227" s="60"/>
    </row>
    <row r="228" spans="1:12" ht="21.95" customHeight="1" x14ac:dyDescent="0.25">
      <c r="A228" s="31" t="s">
        <v>24</v>
      </c>
      <c r="B228" s="21" t="str">
        <f t="shared" ca="1" si="46"/>
        <v/>
      </c>
      <c r="C228" s="22"/>
      <c r="D228" s="23"/>
      <c r="E228" s="24"/>
      <c r="F228" s="25"/>
      <c r="G228" s="26"/>
      <c r="H228" s="27"/>
      <c r="I228" s="28" t="str">
        <f t="shared" si="49"/>
        <v>N/A</v>
      </c>
      <c r="J228" s="56" t="str">
        <f t="shared" si="50"/>
        <v>N/A</v>
      </c>
      <c r="K228" s="60"/>
    </row>
    <row r="229" spans="1:12" ht="21.95" customHeight="1" x14ac:dyDescent="0.25">
      <c r="A229" s="87" t="s">
        <v>25</v>
      </c>
      <c r="B229" s="21" t="str">
        <f t="shared" ca="1" si="46"/>
        <v/>
      </c>
      <c r="C229" s="22"/>
      <c r="D229" s="23"/>
      <c r="E229" s="24"/>
      <c r="F229" s="25"/>
      <c r="G229" s="26"/>
      <c r="H229" s="27"/>
      <c r="I229" s="28" t="str">
        <f t="shared" si="49"/>
        <v>N/A</v>
      </c>
      <c r="J229" s="56" t="str">
        <f t="shared" si="50"/>
        <v>N/A</v>
      </c>
      <c r="K229" s="88"/>
    </row>
    <row r="230" spans="1:12" ht="21.95" customHeight="1" x14ac:dyDescent="0.25">
      <c r="A230" s="87" t="s">
        <v>77</v>
      </c>
      <c r="B230" s="21" t="str">
        <f t="shared" ca="1" si="46"/>
        <v/>
      </c>
      <c r="C230" s="22"/>
      <c r="D230" s="23"/>
      <c r="E230" s="24"/>
      <c r="F230" s="25"/>
      <c r="G230" s="26"/>
      <c r="H230" s="27"/>
      <c r="I230" s="28" t="str">
        <f t="shared" si="49"/>
        <v>N/A</v>
      </c>
      <c r="J230" s="56" t="str">
        <f t="shared" si="50"/>
        <v>N/A</v>
      </c>
      <c r="K230" s="88"/>
    </row>
    <row r="231" spans="1:12" ht="21.95" customHeight="1" x14ac:dyDescent="0.25">
      <c r="A231" s="87" t="s">
        <v>86</v>
      </c>
      <c r="B231" s="21" t="str">
        <f t="shared" ca="1" si="46"/>
        <v/>
      </c>
      <c r="C231" s="22"/>
      <c r="D231" s="23"/>
      <c r="E231" s="24"/>
      <c r="F231" s="25"/>
      <c r="G231" s="26"/>
      <c r="H231" s="27"/>
      <c r="I231" s="28" t="str">
        <f t="shared" si="49"/>
        <v>N/A</v>
      </c>
      <c r="J231" s="56" t="str">
        <f t="shared" si="50"/>
        <v>N/A</v>
      </c>
      <c r="K231" s="88"/>
    </row>
    <row r="232" spans="1:12" ht="21.95" customHeight="1" thickBot="1" x14ac:dyDescent="0.3">
      <c r="A232" s="33" t="s">
        <v>87</v>
      </c>
      <c r="B232" s="21" t="str">
        <f t="shared" ca="1" si="46"/>
        <v/>
      </c>
      <c r="C232" s="22"/>
      <c r="D232" s="23"/>
      <c r="E232" s="24"/>
      <c r="F232" s="25"/>
      <c r="G232" s="26"/>
      <c r="H232" s="27"/>
      <c r="I232" s="28" t="str">
        <f t="shared" si="49"/>
        <v>N/A</v>
      </c>
      <c r="J232" s="56" t="str">
        <f t="shared" si="50"/>
        <v>N/A</v>
      </c>
      <c r="K232" s="83"/>
    </row>
    <row r="233" spans="1:12" ht="18" customHeight="1" x14ac:dyDescent="0.2">
      <c r="A233" s="18"/>
      <c r="B233" s="19"/>
      <c r="C233" s="19"/>
      <c r="D233" s="19"/>
      <c r="E233" s="19"/>
      <c r="F233" s="19"/>
      <c r="G233" s="19"/>
      <c r="H233" s="19"/>
      <c r="I233" s="19"/>
      <c r="J233" s="19"/>
      <c r="K233" s="55"/>
    </row>
    <row r="234" spans="1:12" ht="18" customHeight="1" x14ac:dyDescent="0.25">
      <c r="A234" s="104" t="s">
        <v>27</v>
      </c>
      <c r="B234" s="105"/>
      <c r="C234" s="105"/>
      <c r="D234" s="105"/>
      <c r="E234" s="105"/>
      <c r="F234" s="59" t="str">
        <f>IF(COUNT(J209:J219),AVERAGE(J209:J219),"N/A")</f>
        <v>N/A</v>
      </c>
      <c r="H234" s="58"/>
      <c r="I234" s="58"/>
      <c r="J234" s="53"/>
      <c r="K234" s="55"/>
    </row>
    <row r="235" spans="1:12" ht="18" customHeight="1" x14ac:dyDescent="0.25">
      <c r="A235" s="34"/>
      <c r="B235" s="35"/>
      <c r="C235" s="36"/>
      <c r="D235" s="36"/>
      <c r="E235" s="37"/>
      <c r="F235" s="49"/>
      <c r="G235" s="49"/>
      <c r="H235" s="49"/>
      <c r="I235" s="49"/>
      <c r="J235" s="52"/>
      <c r="K235" s="55"/>
    </row>
    <row r="236" spans="1:12" ht="18" customHeight="1" x14ac:dyDescent="0.25">
      <c r="A236" s="106" t="s">
        <v>28</v>
      </c>
      <c r="B236" s="107"/>
      <c r="C236" s="107"/>
      <c r="D236" s="107"/>
      <c r="E236" s="108"/>
      <c r="F236" s="51" t="str">
        <f>IF(COUNT(J220:J232),AVERAGE(J220:J232),"N/A")</f>
        <v>N/A</v>
      </c>
      <c r="G236" s="54"/>
      <c r="I236" s="53"/>
      <c r="J236" s="53"/>
      <c r="K236" s="55"/>
    </row>
    <row r="237" spans="1:12" ht="18" customHeight="1" x14ac:dyDescent="0.25">
      <c r="A237" s="39"/>
      <c r="B237" s="40"/>
      <c r="C237" s="37"/>
      <c r="D237" s="37"/>
      <c r="E237" s="37"/>
      <c r="F237" s="37"/>
      <c r="G237" s="49"/>
      <c r="H237" s="49"/>
      <c r="I237" s="49"/>
      <c r="J237" s="52"/>
      <c r="K237" s="55"/>
    </row>
    <row r="238" spans="1:12" ht="18" customHeight="1" x14ac:dyDescent="0.25">
      <c r="A238" s="106" t="s">
        <v>29</v>
      </c>
      <c r="B238" s="107"/>
      <c r="C238" s="107"/>
      <c r="D238" s="107"/>
      <c r="E238" s="108"/>
      <c r="F238" s="59" t="str">
        <f>IF(COUNT(J209:J232),AVERAGE(J209:J232),"N/A")</f>
        <v>N/A</v>
      </c>
      <c r="G238" s="58"/>
      <c r="H238" s="58"/>
      <c r="I238" s="58"/>
      <c r="J238" s="53"/>
      <c r="K238" s="55"/>
    </row>
    <row r="239" spans="1:12" ht="18" customHeight="1" x14ac:dyDescent="0.25">
      <c r="A239" s="39"/>
      <c r="B239" s="40"/>
      <c r="C239" s="49"/>
      <c r="D239" s="49"/>
      <c r="E239" s="49"/>
      <c r="F239" s="49"/>
      <c r="G239" s="49"/>
      <c r="H239" s="49"/>
      <c r="I239" s="49"/>
      <c r="J239" s="49"/>
      <c r="K239" s="55"/>
    </row>
    <row r="240" spans="1:12" ht="18" customHeight="1" thickBot="1" x14ac:dyDescent="0.25">
      <c r="A240" s="41"/>
      <c r="B240" s="42"/>
      <c r="C240" s="42"/>
      <c r="D240" s="42"/>
      <c r="E240" s="43"/>
      <c r="F240" s="43"/>
      <c r="G240" s="43"/>
      <c r="H240" s="43"/>
      <c r="I240" s="43"/>
      <c r="J240" s="43"/>
      <c r="K240" s="43"/>
      <c r="L240" s="57"/>
    </row>
    <row r="241" spans="1:11" ht="22.5" customHeight="1" thickTop="1" x14ac:dyDescent="0.3">
      <c r="A241" s="13" t="s">
        <v>17</v>
      </c>
      <c r="B241" s="14"/>
      <c r="C241" s="120"/>
      <c r="D241" s="121"/>
      <c r="E241" s="122"/>
      <c r="F241" s="123" t="s">
        <v>37</v>
      </c>
      <c r="G241" s="124"/>
      <c r="H241" s="15"/>
      <c r="I241" s="15"/>
      <c r="J241" s="50"/>
      <c r="K241" s="16"/>
    </row>
    <row r="242" spans="1:11" ht="12.75" customHeight="1" thickBot="1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55"/>
    </row>
    <row r="243" spans="1:11" ht="14.1" customHeight="1" thickTop="1" x14ac:dyDescent="0.2">
      <c r="A243" s="131" t="s">
        <v>36</v>
      </c>
      <c r="B243" s="132"/>
      <c r="C243" s="132"/>
      <c r="D243" s="133"/>
      <c r="E243" s="92" t="s">
        <v>8</v>
      </c>
      <c r="F243" s="93"/>
      <c r="G243" s="93"/>
      <c r="H243" s="93"/>
      <c r="I243" s="93"/>
      <c r="J243" s="94"/>
      <c r="K243" s="101"/>
    </row>
    <row r="244" spans="1:11" ht="14.1" customHeight="1" x14ac:dyDescent="0.2">
      <c r="A244" s="134"/>
      <c r="B244" s="135"/>
      <c r="C244" s="135"/>
      <c r="D244" s="136"/>
      <c r="E244" s="95"/>
      <c r="F244" s="96"/>
      <c r="G244" s="96"/>
      <c r="H244" s="96"/>
      <c r="I244" s="96"/>
      <c r="J244" s="97"/>
      <c r="K244" s="102"/>
    </row>
    <row r="245" spans="1:11" ht="14.1" customHeight="1" thickBot="1" x14ac:dyDescent="0.25">
      <c r="A245" s="137"/>
      <c r="B245" s="138"/>
      <c r="C245" s="138"/>
      <c r="D245" s="139"/>
      <c r="E245" s="98"/>
      <c r="F245" s="99"/>
      <c r="G245" s="99"/>
      <c r="H245" s="99"/>
      <c r="I245" s="99"/>
      <c r="J245" s="100"/>
      <c r="K245" s="103"/>
    </row>
    <row r="246" spans="1:11" ht="20.100000000000001" customHeight="1" thickTop="1" x14ac:dyDescent="0.2">
      <c r="A246" s="128" t="s">
        <v>3</v>
      </c>
      <c r="B246" s="141" t="s">
        <v>41</v>
      </c>
      <c r="C246" s="118" t="s">
        <v>26</v>
      </c>
      <c r="D246" s="140" t="s">
        <v>47</v>
      </c>
      <c r="E246" s="113" t="s">
        <v>0</v>
      </c>
      <c r="F246" s="113" t="s">
        <v>4</v>
      </c>
      <c r="G246" s="113" t="s">
        <v>5</v>
      </c>
      <c r="H246" s="113" t="s">
        <v>6</v>
      </c>
      <c r="I246" s="115" t="s">
        <v>7</v>
      </c>
      <c r="J246" s="125" t="s">
        <v>18</v>
      </c>
      <c r="K246" s="109" t="s">
        <v>83</v>
      </c>
    </row>
    <row r="247" spans="1:11" ht="20.100000000000001" customHeight="1" x14ac:dyDescent="0.2">
      <c r="A247" s="129"/>
      <c r="B247" s="130"/>
      <c r="C247" s="119"/>
      <c r="D247" s="112"/>
      <c r="E247" s="114"/>
      <c r="F247" s="114"/>
      <c r="G247" s="114"/>
      <c r="H247" s="114"/>
      <c r="I247" s="116"/>
      <c r="J247" s="126"/>
      <c r="K247" s="110"/>
    </row>
    <row r="248" spans="1:11" ht="20.100000000000001" customHeight="1" x14ac:dyDescent="0.2">
      <c r="A248" s="129"/>
      <c r="B248" s="130"/>
      <c r="C248" s="119"/>
      <c r="D248" s="112"/>
      <c r="E248" s="114"/>
      <c r="F248" s="114"/>
      <c r="G248" s="114"/>
      <c r="H248" s="114"/>
      <c r="I248" s="117"/>
      <c r="J248" s="127"/>
      <c r="K248" s="111"/>
    </row>
    <row r="249" spans="1:11" ht="21.95" customHeight="1" x14ac:dyDescent="0.25">
      <c r="A249" s="20" t="s">
        <v>85</v>
      </c>
      <c r="B249" s="21" t="str">
        <f ca="1">IF(H249&lt;&gt;"",IF(B249="",NOW(),B249),"")</f>
        <v/>
      </c>
      <c r="C249" s="22"/>
      <c r="D249" s="23"/>
      <c r="E249" s="24"/>
      <c r="F249" s="25"/>
      <c r="G249" s="26"/>
      <c r="H249" s="27"/>
      <c r="I249" s="28" t="str">
        <f t="shared" ref="I249:I258" si="51">IF(F249+G249+H249=0,("N/A"),SUM(F249,G249,H249)/3)</f>
        <v>N/A</v>
      </c>
      <c r="J249" s="56" t="str">
        <f>IF(I249="N/A","N/A",I249-E249)</f>
        <v>N/A</v>
      </c>
      <c r="K249" s="83"/>
    </row>
    <row r="250" spans="1:11" ht="21.95" customHeight="1" x14ac:dyDescent="0.25">
      <c r="A250" s="20" t="s">
        <v>84</v>
      </c>
      <c r="B250" s="21" t="str">
        <f t="shared" ref="B250:B251" ca="1" si="52">IF(H250&lt;&gt;"",IF(B250="",NOW(),B250),"")</f>
        <v/>
      </c>
      <c r="C250" s="22"/>
      <c r="D250" s="23"/>
      <c r="E250" s="24"/>
      <c r="F250" s="25"/>
      <c r="G250" s="26"/>
      <c r="H250" s="27"/>
      <c r="I250" s="28" t="str">
        <f t="shared" si="51"/>
        <v>N/A</v>
      </c>
      <c r="J250" s="56" t="str">
        <f t="shared" ref="J250:J251" si="53">IF(I250="N/A","N/A",I250-E250)</f>
        <v>N/A</v>
      </c>
      <c r="K250" s="83"/>
    </row>
    <row r="251" spans="1:11" ht="21.95" customHeight="1" x14ac:dyDescent="0.25">
      <c r="A251" s="20" t="s">
        <v>38</v>
      </c>
      <c r="B251" s="21" t="str">
        <f t="shared" ca="1" si="52"/>
        <v/>
      </c>
      <c r="C251" s="22"/>
      <c r="D251" s="23"/>
      <c r="E251" s="24"/>
      <c r="F251" s="25"/>
      <c r="G251" s="26"/>
      <c r="H251" s="27"/>
      <c r="I251" s="28" t="str">
        <f t="shared" si="51"/>
        <v>N/A</v>
      </c>
      <c r="J251" s="56" t="str">
        <f t="shared" si="53"/>
        <v>N/A</v>
      </c>
      <c r="K251" s="83"/>
    </row>
    <row r="252" spans="1:11" ht="21.95" customHeight="1" x14ac:dyDescent="0.25">
      <c r="A252" s="20" t="s">
        <v>1</v>
      </c>
      <c r="B252" s="21" t="str">
        <f t="shared" ref="B252:B272" ca="1" si="54">IF(H252&lt;&gt;"",IF(B252="",NOW(),B252),"")</f>
        <v/>
      </c>
      <c r="C252" s="22"/>
      <c r="D252" s="23"/>
      <c r="E252" s="24"/>
      <c r="F252" s="25"/>
      <c r="G252" s="26"/>
      <c r="H252" s="27"/>
      <c r="I252" s="28" t="str">
        <f t="shared" si="51"/>
        <v>N/A</v>
      </c>
      <c r="J252" s="56" t="str">
        <f t="shared" ref="J252" si="55">IF(I252="N/A","N/A",I252-E252)</f>
        <v>N/A</v>
      </c>
      <c r="K252" s="83"/>
    </row>
    <row r="253" spans="1:11" ht="21.95" customHeight="1" x14ac:dyDescent="0.25">
      <c r="A253" s="20" t="s">
        <v>9</v>
      </c>
      <c r="B253" s="21" t="str">
        <f t="shared" ca="1" si="54"/>
        <v/>
      </c>
      <c r="C253" s="22"/>
      <c r="D253" s="23"/>
      <c r="E253" s="24"/>
      <c r="F253" s="25"/>
      <c r="G253" s="26"/>
      <c r="H253" s="27"/>
      <c r="I253" s="28" t="str">
        <f t="shared" si="51"/>
        <v>N/A</v>
      </c>
      <c r="J253" s="56" t="str">
        <f>IF(I253="N/A","N/A",I253-E253)</f>
        <v>N/A</v>
      </c>
      <c r="K253" s="83"/>
    </row>
    <row r="254" spans="1:11" ht="21.95" customHeight="1" x14ac:dyDescent="0.25">
      <c r="A254" s="20" t="s">
        <v>10</v>
      </c>
      <c r="B254" s="21" t="str">
        <f t="shared" ca="1" si="54"/>
        <v/>
      </c>
      <c r="C254" s="22"/>
      <c r="D254" s="23"/>
      <c r="E254" s="24"/>
      <c r="F254" s="25"/>
      <c r="G254" s="26"/>
      <c r="H254" s="27"/>
      <c r="I254" s="28" t="str">
        <f t="shared" si="51"/>
        <v>N/A</v>
      </c>
      <c r="J254" s="56" t="str">
        <f t="shared" ref="J254:J261" si="56">IF(I254="N/A","N/A",I254-E254)</f>
        <v>N/A</v>
      </c>
      <c r="K254" s="83"/>
    </row>
    <row r="255" spans="1:11" ht="21.95" customHeight="1" x14ac:dyDescent="0.25">
      <c r="A255" s="20" t="s">
        <v>11</v>
      </c>
      <c r="B255" s="21" t="str">
        <f t="shared" ca="1" si="54"/>
        <v/>
      </c>
      <c r="C255" s="22"/>
      <c r="D255" s="23"/>
      <c r="E255" s="24"/>
      <c r="F255" s="25"/>
      <c r="G255" s="26"/>
      <c r="H255" s="27"/>
      <c r="I255" s="28" t="str">
        <f t="shared" si="51"/>
        <v>N/A</v>
      </c>
      <c r="J255" s="56" t="str">
        <f t="shared" si="56"/>
        <v>N/A</v>
      </c>
      <c r="K255" s="83"/>
    </row>
    <row r="256" spans="1:11" ht="21.95" customHeight="1" x14ac:dyDescent="0.25">
      <c r="A256" s="20" t="s">
        <v>12</v>
      </c>
      <c r="B256" s="21" t="str">
        <f t="shared" ca="1" si="54"/>
        <v/>
      </c>
      <c r="C256" s="22"/>
      <c r="D256" s="23"/>
      <c r="E256" s="24"/>
      <c r="F256" s="25"/>
      <c r="G256" s="26"/>
      <c r="H256" s="27"/>
      <c r="I256" s="28" t="str">
        <f t="shared" si="51"/>
        <v>N/A</v>
      </c>
      <c r="J256" s="56" t="str">
        <f t="shared" si="56"/>
        <v>N/A</v>
      </c>
      <c r="K256" s="83"/>
    </row>
    <row r="257" spans="1:11" ht="21.95" customHeight="1" x14ac:dyDescent="0.25">
      <c r="A257" s="20" t="s">
        <v>13</v>
      </c>
      <c r="B257" s="21" t="str">
        <f t="shared" ca="1" si="54"/>
        <v/>
      </c>
      <c r="C257" s="22"/>
      <c r="D257" s="23"/>
      <c r="E257" s="24"/>
      <c r="F257" s="25"/>
      <c r="G257" s="26"/>
      <c r="H257" s="27"/>
      <c r="I257" s="28" t="str">
        <f t="shared" si="51"/>
        <v>N/A</v>
      </c>
      <c r="J257" s="56" t="str">
        <f t="shared" si="56"/>
        <v>N/A</v>
      </c>
      <c r="K257" s="83"/>
    </row>
    <row r="258" spans="1:11" ht="21.95" customHeight="1" x14ac:dyDescent="0.25">
      <c r="A258" s="20" t="s">
        <v>14</v>
      </c>
      <c r="B258" s="21" t="str">
        <f t="shared" ca="1" si="54"/>
        <v/>
      </c>
      <c r="C258" s="22"/>
      <c r="D258" s="23"/>
      <c r="E258" s="24"/>
      <c r="F258" s="25"/>
      <c r="G258" s="26"/>
      <c r="H258" s="27"/>
      <c r="I258" s="28" t="str">
        <f t="shared" si="51"/>
        <v>N/A</v>
      </c>
      <c r="J258" s="56" t="str">
        <f t="shared" si="56"/>
        <v>N/A</v>
      </c>
      <c r="K258" s="83"/>
    </row>
    <row r="259" spans="1:11" ht="21.95" customHeight="1" x14ac:dyDescent="0.25">
      <c r="A259" s="20" t="s">
        <v>15</v>
      </c>
      <c r="B259" s="21" t="str">
        <f t="shared" ca="1" si="54"/>
        <v/>
      </c>
      <c r="C259" s="22"/>
      <c r="D259" s="23"/>
      <c r="E259" s="24"/>
      <c r="F259" s="25"/>
      <c r="G259" s="26"/>
      <c r="H259" s="27"/>
      <c r="I259" s="28" t="str">
        <f>IF(F259+G259+H259=0,("N/A"),SUM(F259,G259,H259)/3)</f>
        <v>N/A</v>
      </c>
      <c r="J259" s="56" t="str">
        <f t="shared" si="56"/>
        <v>N/A</v>
      </c>
      <c r="K259" s="83"/>
    </row>
    <row r="260" spans="1:11" ht="21.95" customHeight="1" x14ac:dyDescent="0.25">
      <c r="A260" s="30" t="s">
        <v>16</v>
      </c>
      <c r="B260" s="21" t="str">
        <f t="shared" ca="1" si="54"/>
        <v/>
      </c>
      <c r="C260" s="22"/>
      <c r="D260" s="23"/>
      <c r="E260" s="24"/>
      <c r="F260" s="25"/>
      <c r="G260" s="26"/>
      <c r="H260" s="27"/>
      <c r="I260" s="28" t="str">
        <f>IF(F260+G260+H260=0,("N/A"),SUM(F260,G260,H260)/3)</f>
        <v>N/A</v>
      </c>
      <c r="J260" s="56" t="str">
        <f t="shared" si="56"/>
        <v>N/A</v>
      </c>
      <c r="K260" s="83"/>
    </row>
    <row r="261" spans="1:11" ht="21.95" customHeight="1" x14ac:dyDescent="0.25">
      <c r="A261" s="31" t="s">
        <v>39</v>
      </c>
      <c r="B261" s="21" t="str">
        <f t="shared" ca="1" si="54"/>
        <v/>
      </c>
      <c r="C261" s="22"/>
      <c r="D261" s="23"/>
      <c r="E261" s="24"/>
      <c r="F261" s="25"/>
      <c r="G261" s="26"/>
      <c r="H261" s="27"/>
      <c r="I261" s="28" t="str">
        <f>IF(F261+G261+H261=0,("N/A"),SUM(F261,G261,H261)/3)</f>
        <v>N/A</v>
      </c>
      <c r="J261" s="56" t="str">
        <f t="shared" si="56"/>
        <v>N/A</v>
      </c>
      <c r="K261" s="83"/>
    </row>
    <row r="262" spans="1:11" ht="21.95" customHeight="1" x14ac:dyDescent="0.25">
      <c r="A262" s="31" t="s">
        <v>19</v>
      </c>
      <c r="B262" s="21" t="str">
        <f t="shared" ca="1" si="54"/>
        <v/>
      </c>
      <c r="C262" s="22"/>
      <c r="D262" s="23"/>
      <c r="E262" s="24"/>
      <c r="F262" s="25"/>
      <c r="G262" s="26"/>
      <c r="H262" s="27"/>
      <c r="I262" s="28" t="str">
        <f t="shared" ref="I262:I272" si="57">IF(F262+G262+H262=0,("N/A"),SUM(F262,G262,H262)/3)</f>
        <v>N/A</v>
      </c>
      <c r="J262" s="56" t="str">
        <f>IF(I262="N/A","N/A",I262-E262)</f>
        <v>N/A</v>
      </c>
      <c r="K262" s="83"/>
    </row>
    <row r="263" spans="1:11" ht="21.95" customHeight="1" x14ac:dyDescent="0.25">
      <c r="A263" s="31" t="s">
        <v>20</v>
      </c>
      <c r="B263" s="21" t="str">
        <f t="shared" ca="1" si="54"/>
        <v/>
      </c>
      <c r="C263" s="22"/>
      <c r="D263" s="23"/>
      <c r="E263" s="24"/>
      <c r="F263" s="25"/>
      <c r="G263" s="26"/>
      <c r="H263" s="27"/>
      <c r="I263" s="28" t="str">
        <f t="shared" si="57"/>
        <v>N/A</v>
      </c>
      <c r="J263" s="56" t="str">
        <f t="shared" ref="J263:J272" si="58">IF(I263="N/A","N/A",I263-E263)</f>
        <v>N/A</v>
      </c>
      <c r="K263" s="83"/>
    </row>
    <row r="264" spans="1:11" ht="21.95" customHeight="1" x14ac:dyDescent="0.25">
      <c r="A264" s="31" t="s">
        <v>21</v>
      </c>
      <c r="B264" s="21" t="str">
        <f t="shared" ca="1" si="54"/>
        <v/>
      </c>
      <c r="C264" s="22"/>
      <c r="D264" s="23"/>
      <c r="E264" s="24"/>
      <c r="F264" s="25"/>
      <c r="G264" s="26"/>
      <c r="H264" s="27"/>
      <c r="I264" s="28" t="str">
        <f t="shared" si="57"/>
        <v>N/A</v>
      </c>
      <c r="J264" s="56" t="str">
        <f t="shared" si="58"/>
        <v>N/A</v>
      </c>
      <c r="K264" s="83"/>
    </row>
    <row r="265" spans="1:11" ht="21.95" customHeight="1" x14ac:dyDescent="0.25">
      <c r="A265" s="31" t="s">
        <v>2</v>
      </c>
      <c r="B265" s="21" t="str">
        <f t="shared" ca="1" si="54"/>
        <v/>
      </c>
      <c r="C265" s="22"/>
      <c r="D265" s="23"/>
      <c r="E265" s="24"/>
      <c r="F265" s="25"/>
      <c r="G265" s="26"/>
      <c r="H265" s="27"/>
      <c r="I265" s="28" t="str">
        <f t="shared" si="57"/>
        <v>N/A</v>
      </c>
      <c r="J265" s="56" t="str">
        <f t="shared" si="58"/>
        <v>N/A</v>
      </c>
      <c r="K265" s="83"/>
    </row>
    <row r="266" spans="1:11" ht="21.95" customHeight="1" x14ac:dyDescent="0.25">
      <c r="A266" s="31" t="s">
        <v>22</v>
      </c>
      <c r="B266" s="21" t="str">
        <f t="shared" ca="1" si="54"/>
        <v/>
      </c>
      <c r="C266" s="22"/>
      <c r="D266" s="23"/>
      <c r="E266" s="24"/>
      <c r="F266" s="25"/>
      <c r="G266" s="26"/>
      <c r="H266" s="27"/>
      <c r="I266" s="28" t="str">
        <f t="shared" si="57"/>
        <v>N/A</v>
      </c>
      <c r="J266" s="56" t="str">
        <f t="shared" si="58"/>
        <v>N/A</v>
      </c>
      <c r="K266" s="83"/>
    </row>
    <row r="267" spans="1:11" ht="21.95" customHeight="1" x14ac:dyDescent="0.25">
      <c r="A267" s="31" t="s">
        <v>23</v>
      </c>
      <c r="B267" s="21" t="str">
        <f t="shared" ca="1" si="54"/>
        <v/>
      </c>
      <c r="C267" s="22"/>
      <c r="D267" s="23"/>
      <c r="E267" s="24"/>
      <c r="F267" s="25"/>
      <c r="G267" s="26"/>
      <c r="H267" s="27"/>
      <c r="I267" s="28" t="str">
        <f t="shared" si="57"/>
        <v>N/A</v>
      </c>
      <c r="J267" s="56" t="str">
        <f t="shared" si="58"/>
        <v>N/A</v>
      </c>
      <c r="K267" s="83"/>
    </row>
    <row r="268" spans="1:11" ht="21.95" customHeight="1" x14ac:dyDescent="0.25">
      <c r="A268" s="31" t="s">
        <v>24</v>
      </c>
      <c r="B268" s="21" t="str">
        <f t="shared" ca="1" si="54"/>
        <v/>
      </c>
      <c r="C268" s="22"/>
      <c r="D268" s="23"/>
      <c r="E268" s="24"/>
      <c r="F268" s="25"/>
      <c r="G268" s="26"/>
      <c r="H268" s="27"/>
      <c r="I268" s="28" t="str">
        <f t="shared" si="57"/>
        <v>N/A</v>
      </c>
      <c r="J268" s="56" t="str">
        <f t="shared" si="58"/>
        <v>N/A</v>
      </c>
      <c r="K268" s="83"/>
    </row>
    <row r="269" spans="1:11" ht="21.95" customHeight="1" x14ac:dyDescent="0.25">
      <c r="A269" s="87" t="s">
        <v>25</v>
      </c>
      <c r="B269" s="21" t="str">
        <f t="shared" ca="1" si="54"/>
        <v/>
      </c>
      <c r="C269" s="22"/>
      <c r="D269" s="23"/>
      <c r="E269" s="24"/>
      <c r="F269" s="25"/>
      <c r="G269" s="26"/>
      <c r="H269" s="27"/>
      <c r="I269" s="28" t="str">
        <f t="shared" si="57"/>
        <v>N/A</v>
      </c>
      <c r="J269" s="56" t="str">
        <f t="shared" si="58"/>
        <v>N/A</v>
      </c>
      <c r="K269" s="83"/>
    </row>
    <row r="270" spans="1:11" ht="21.95" customHeight="1" x14ac:dyDescent="0.25">
      <c r="A270" s="87" t="s">
        <v>77</v>
      </c>
      <c r="B270" s="21" t="str">
        <f t="shared" ca="1" si="54"/>
        <v/>
      </c>
      <c r="C270" s="22"/>
      <c r="D270" s="23"/>
      <c r="E270" s="24"/>
      <c r="F270" s="25"/>
      <c r="G270" s="26"/>
      <c r="H270" s="27"/>
      <c r="I270" s="28" t="str">
        <f t="shared" si="57"/>
        <v>N/A</v>
      </c>
      <c r="J270" s="56" t="str">
        <f t="shared" si="58"/>
        <v>N/A</v>
      </c>
      <c r="K270" s="83"/>
    </row>
    <row r="271" spans="1:11" ht="21.95" customHeight="1" x14ac:dyDescent="0.25">
      <c r="A271" s="87" t="s">
        <v>86</v>
      </c>
      <c r="B271" s="21" t="str">
        <f t="shared" ca="1" si="54"/>
        <v/>
      </c>
      <c r="C271" s="22"/>
      <c r="D271" s="23"/>
      <c r="E271" s="24"/>
      <c r="F271" s="25"/>
      <c r="G271" s="26"/>
      <c r="H271" s="27"/>
      <c r="I271" s="28" t="str">
        <f t="shared" si="57"/>
        <v>N/A</v>
      </c>
      <c r="J271" s="56" t="str">
        <f t="shared" si="58"/>
        <v>N/A</v>
      </c>
      <c r="K271" s="83"/>
    </row>
    <row r="272" spans="1:11" ht="21.95" customHeight="1" thickBot="1" x14ac:dyDescent="0.3">
      <c r="A272" s="33" t="s">
        <v>87</v>
      </c>
      <c r="B272" s="21" t="str">
        <f t="shared" ca="1" si="54"/>
        <v/>
      </c>
      <c r="C272" s="22"/>
      <c r="D272" s="23"/>
      <c r="E272" s="24"/>
      <c r="F272" s="25"/>
      <c r="G272" s="26"/>
      <c r="H272" s="27"/>
      <c r="I272" s="28" t="str">
        <f t="shared" si="57"/>
        <v>N/A</v>
      </c>
      <c r="J272" s="56" t="str">
        <f t="shared" si="58"/>
        <v>N/A</v>
      </c>
      <c r="K272" s="83"/>
    </row>
    <row r="273" spans="1:12" ht="18" customHeight="1" x14ac:dyDescent="0.2">
      <c r="A273" s="18"/>
      <c r="B273" s="19"/>
      <c r="C273" s="19"/>
      <c r="D273" s="19"/>
      <c r="E273" s="19"/>
      <c r="F273" s="19"/>
      <c r="G273" s="19"/>
      <c r="H273" s="19"/>
      <c r="I273" s="19"/>
      <c r="J273" s="19"/>
      <c r="K273" s="55"/>
    </row>
    <row r="274" spans="1:12" ht="18" customHeight="1" x14ac:dyDescent="0.25">
      <c r="A274" s="104" t="s">
        <v>27</v>
      </c>
      <c r="B274" s="105"/>
      <c r="C274" s="105"/>
      <c r="D274" s="105"/>
      <c r="E274" s="105"/>
      <c r="F274" s="59" t="str">
        <f>IF(COUNT(J249:J259),AVERAGE(J249:J259),"N/A")</f>
        <v>N/A</v>
      </c>
      <c r="H274" s="58"/>
      <c r="I274" s="58"/>
      <c r="J274" s="53"/>
      <c r="K274" s="55"/>
    </row>
    <row r="275" spans="1:12" ht="18" customHeight="1" x14ac:dyDescent="0.25">
      <c r="A275" s="34"/>
      <c r="B275" s="35"/>
      <c r="C275" s="36"/>
      <c r="D275" s="36"/>
      <c r="E275" s="37"/>
      <c r="F275" s="49"/>
      <c r="G275" s="49"/>
      <c r="H275" s="49"/>
      <c r="I275" s="49"/>
      <c r="J275" s="52"/>
      <c r="K275" s="55"/>
    </row>
    <row r="276" spans="1:12" ht="18" customHeight="1" x14ac:dyDescent="0.25">
      <c r="A276" s="106" t="s">
        <v>28</v>
      </c>
      <c r="B276" s="107"/>
      <c r="C276" s="107"/>
      <c r="D276" s="107"/>
      <c r="E276" s="108"/>
      <c r="F276" s="51" t="str">
        <f>IF(COUNT(J260:J272),AVERAGE(J260:J272),"N/A")</f>
        <v>N/A</v>
      </c>
      <c r="G276" s="54"/>
      <c r="I276" s="53"/>
      <c r="J276" s="53"/>
      <c r="K276" s="55"/>
    </row>
    <row r="277" spans="1:12" ht="18" customHeight="1" x14ac:dyDescent="0.25">
      <c r="A277" s="39"/>
      <c r="B277" s="40"/>
      <c r="C277" s="37"/>
      <c r="D277" s="37"/>
      <c r="E277" s="37"/>
      <c r="F277" s="37"/>
      <c r="G277" s="49"/>
      <c r="H277" s="49"/>
      <c r="I277" s="49"/>
      <c r="J277" s="52"/>
      <c r="K277" s="55"/>
    </row>
    <row r="278" spans="1:12" ht="18" customHeight="1" x14ac:dyDescent="0.25">
      <c r="A278" s="106" t="s">
        <v>29</v>
      </c>
      <c r="B278" s="107"/>
      <c r="C278" s="107"/>
      <c r="D278" s="107"/>
      <c r="E278" s="108"/>
      <c r="F278" s="59" t="str">
        <f>IF(COUNT(J249:J272),AVERAGE(J249:J272),"N/A")</f>
        <v>N/A</v>
      </c>
      <c r="G278" s="58"/>
      <c r="H278" s="58"/>
      <c r="I278" s="58"/>
      <c r="J278" s="53"/>
      <c r="K278" s="55"/>
    </row>
    <row r="279" spans="1:12" ht="18" customHeight="1" x14ac:dyDescent="0.25">
      <c r="A279" s="39"/>
      <c r="B279" s="40"/>
      <c r="C279" s="49"/>
      <c r="D279" s="49"/>
      <c r="E279" s="49"/>
      <c r="F279" s="49"/>
      <c r="G279" s="49"/>
      <c r="H279" s="49"/>
      <c r="I279" s="49"/>
      <c r="J279" s="49"/>
      <c r="K279" s="55"/>
    </row>
    <row r="280" spans="1:12" ht="18" customHeight="1" thickBot="1" x14ac:dyDescent="0.25">
      <c r="A280" s="41"/>
      <c r="B280" s="42"/>
      <c r="C280" s="42"/>
      <c r="D280" s="42"/>
      <c r="E280" s="43"/>
      <c r="F280" s="43"/>
      <c r="G280" s="43"/>
      <c r="H280" s="43"/>
      <c r="I280" s="43"/>
      <c r="J280" s="43"/>
      <c r="K280" s="43"/>
      <c r="L280" s="57"/>
    </row>
    <row r="281" spans="1:12" ht="13.5" thickTop="1" x14ac:dyDescent="0.2"/>
  </sheetData>
  <sheetProtection password="D7AD" sheet="1" objects="1" scenarios="1"/>
  <protectedRanges>
    <protectedRange sqref="C1:E1 C41:E41 C81:E81 C89:H112 C121:E121 C129:H152 C161:E161 C169:H192 C201:E201 C209:H232 C241:E241 C249:H272 C9:H32 C49:H72" name="Editable Area"/>
    <protectedRange sqref="K49:K72 K89:K112 K129:K152 K169:K192 K209:K232 K249:K272 K9:K32" name="Comments"/>
  </protectedRanges>
  <mergeCells count="133">
    <mergeCell ref="K86:K88"/>
    <mergeCell ref="A154:E154"/>
    <mergeCell ref="A156:E156"/>
    <mergeCell ref="A158:E158"/>
    <mergeCell ref="K126:K128"/>
    <mergeCell ref="K46:K48"/>
    <mergeCell ref="A74:E74"/>
    <mergeCell ref="A76:E76"/>
    <mergeCell ref="A78:E78"/>
    <mergeCell ref="I126:I128"/>
    <mergeCell ref="J126:J128"/>
    <mergeCell ref="A83:D85"/>
    <mergeCell ref="D86:D88"/>
    <mergeCell ref="A123:D125"/>
    <mergeCell ref="B46:B48"/>
    <mergeCell ref="A86:A88"/>
    <mergeCell ref="K83:K85"/>
    <mergeCell ref="K123:K125"/>
    <mergeCell ref="H206:H208"/>
    <mergeCell ref="I206:I208"/>
    <mergeCell ref="A234:E234"/>
    <mergeCell ref="A236:E236"/>
    <mergeCell ref="A238:E238"/>
    <mergeCell ref="K206:K208"/>
    <mergeCell ref="K6:K8"/>
    <mergeCell ref="A34:E34"/>
    <mergeCell ref="A36:E36"/>
    <mergeCell ref="A38:E38"/>
    <mergeCell ref="J206:J208"/>
    <mergeCell ref="B206:B208"/>
    <mergeCell ref="A203:D205"/>
    <mergeCell ref="D206:D208"/>
    <mergeCell ref="C86:C88"/>
    <mergeCell ref="E86:E88"/>
    <mergeCell ref="F86:F88"/>
    <mergeCell ref="G86:G88"/>
    <mergeCell ref="H86:H88"/>
    <mergeCell ref="I86:I88"/>
    <mergeCell ref="J86:J88"/>
    <mergeCell ref="B86:B88"/>
    <mergeCell ref="J166:J168"/>
    <mergeCell ref="C126:C128"/>
    <mergeCell ref="H166:H168"/>
    <mergeCell ref="I166:I168"/>
    <mergeCell ref="C161:E161"/>
    <mergeCell ref="F161:G161"/>
    <mergeCell ref="D126:D128"/>
    <mergeCell ref="A163:D165"/>
    <mergeCell ref="D166:D168"/>
    <mergeCell ref="A126:A128"/>
    <mergeCell ref="A166:A168"/>
    <mergeCell ref="E126:E128"/>
    <mergeCell ref="F126:F128"/>
    <mergeCell ref="G126:G128"/>
    <mergeCell ref="H126:H128"/>
    <mergeCell ref="A276:E276"/>
    <mergeCell ref="A278:E278"/>
    <mergeCell ref="K246:K248"/>
    <mergeCell ref="J246:J248"/>
    <mergeCell ref="B246:B248"/>
    <mergeCell ref="A243:D245"/>
    <mergeCell ref="D246:D248"/>
    <mergeCell ref="K243:K245"/>
    <mergeCell ref="C1:E1"/>
    <mergeCell ref="F1:G1"/>
    <mergeCell ref="H6:H8"/>
    <mergeCell ref="I6:I8"/>
    <mergeCell ref="J6:J8"/>
    <mergeCell ref="C6:C8"/>
    <mergeCell ref="E6:E8"/>
    <mergeCell ref="F6:F8"/>
    <mergeCell ref="G6:G8"/>
    <mergeCell ref="A3:D5"/>
    <mergeCell ref="E3:J5"/>
    <mergeCell ref="F166:F168"/>
    <mergeCell ref="G166:G168"/>
    <mergeCell ref="B126:B128"/>
    <mergeCell ref="B166:B168"/>
    <mergeCell ref="A114:E114"/>
    <mergeCell ref="A246:A248"/>
    <mergeCell ref="C246:C248"/>
    <mergeCell ref="E246:E248"/>
    <mergeCell ref="F246:F248"/>
    <mergeCell ref="G246:G248"/>
    <mergeCell ref="H246:H248"/>
    <mergeCell ref="I246:I248"/>
    <mergeCell ref="E243:J245"/>
    <mergeCell ref="A274:E274"/>
    <mergeCell ref="C41:E41"/>
    <mergeCell ref="A6:A8"/>
    <mergeCell ref="F41:G41"/>
    <mergeCell ref="B6:B8"/>
    <mergeCell ref="A43:D45"/>
    <mergeCell ref="D46:D48"/>
    <mergeCell ref="C166:C168"/>
    <mergeCell ref="E166:E168"/>
    <mergeCell ref="C241:E241"/>
    <mergeCell ref="F241:G241"/>
    <mergeCell ref="C121:E121"/>
    <mergeCell ref="F121:G121"/>
    <mergeCell ref="A116:E116"/>
    <mergeCell ref="A118:E118"/>
    <mergeCell ref="C201:E201"/>
    <mergeCell ref="F201:G201"/>
    <mergeCell ref="A206:A208"/>
    <mergeCell ref="C206:C208"/>
    <mergeCell ref="E206:E208"/>
    <mergeCell ref="F206:F208"/>
    <mergeCell ref="G206:G208"/>
    <mergeCell ref="K3:K5"/>
    <mergeCell ref="E43:J45"/>
    <mergeCell ref="K43:K45"/>
    <mergeCell ref="E83:J85"/>
    <mergeCell ref="E123:J125"/>
    <mergeCell ref="E163:J165"/>
    <mergeCell ref="K163:K165"/>
    <mergeCell ref="E203:J205"/>
    <mergeCell ref="K203:K205"/>
    <mergeCell ref="A194:E194"/>
    <mergeCell ref="A196:E196"/>
    <mergeCell ref="A198:E198"/>
    <mergeCell ref="K166:K168"/>
    <mergeCell ref="D6:D8"/>
    <mergeCell ref="H46:H48"/>
    <mergeCell ref="I46:I48"/>
    <mergeCell ref="C46:C48"/>
    <mergeCell ref="E46:E48"/>
    <mergeCell ref="F46:F48"/>
    <mergeCell ref="G46:G48"/>
    <mergeCell ref="C81:E81"/>
    <mergeCell ref="F81:G81"/>
    <mergeCell ref="J46:J48"/>
    <mergeCell ref="A46:A48"/>
  </mergeCells>
  <conditionalFormatting sqref="F9:F32">
    <cfRule type="expression" dxfId="214" priority="125">
      <formula>IF(NOT(ISBLANK($F9)),$E9&gt;$F9,FALSE)</formula>
    </cfRule>
  </conditionalFormatting>
  <conditionalFormatting sqref="G9:G32">
    <cfRule type="expression" dxfId="213" priority="124">
      <formula>IF(NOT(ISBLANK($G9)),$E9&gt;$G9,FALSE)</formula>
    </cfRule>
  </conditionalFormatting>
  <conditionalFormatting sqref="H9:H32">
    <cfRule type="expression" dxfId="212" priority="123">
      <formula>IF(NOT(ISBLANK($H9)),$E9&gt;$H9,FALSE)</formula>
    </cfRule>
  </conditionalFormatting>
  <conditionalFormatting sqref="I9:I32">
    <cfRule type="expression" dxfId="211" priority="122">
      <formula>IF(NOT(ISBLANK($I9)),$E9&gt;$I9,FALSE)</formula>
    </cfRule>
  </conditionalFormatting>
  <conditionalFormatting sqref="J9:J32">
    <cfRule type="expression" dxfId="210" priority="121">
      <formula>IF($J9&lt;&gt;"N/A",OR($J9&lt;0,$J9&gt;10),FALSE)</formula>
    </cfRule>
  </conditionalFormatting>
  <conditionalFormatting sqref="F49:F72">
    <cfRule type="expression" dxfId="209" priority="30">
      <formula>IF(NOT(ISBLANK($F49)),$E49&gt;$F49,FALSE)</formula>
    </cfRule>
  </conditionalFormatting>
  <conditionalFormatting sqref="G49:G72">
    <cfRule type="expression" dxfId="208" priority="29">
      <formula>IF(NOT(ISBLANK($G49)),$E49&gt;$G49,FALSE)</formula>
    </cfRule>
  </conditionalFormatting>
  <conditionalFormatting sqref="H49:H72">
    <cfRule type="expression" dxfId="207" priority="28">
      <formula>IF(NOT(ISBLANK($H49)),$E49&gt;$H49,FALSE)</formula>
    </cfRule>
  </conditionalFormatting>
  <conditionalFormatting sqref="I49:I72">
    <cfRule type="expression" dxfId="206" priority="27">
      <formula>IF(NOT(ISBLANK($I49)),$E49&gt;$I49,FALSE)</formula>
    </cfRule>
  </conditionalFormatting>
  <conditionalFormatting sqref="J49:J72">
    <cfRule type="expression" dxfId="205" priority="26">
      <formula>IF($J49&lt;&gt;"N/A",OR($J49&lt;0,$J49&gt;10),FALSE)</formula>
    </cfRule>
  </conditionalFormatting>
  <conditionalFormatting sqref="F89:F112">
    <cfRule type="expression" dxfId="204" priority="25">
      <formula>IF(NOT(ISBLANK($F89)),$E89&gt;$F89,FALSE)</formula>
    </cfRule>
  </conditionalFormatting>
  <conditionalFormatting sqref="G89:G112">
    <cfRule type="expression" dxfId="203" priority="24">
      <formula>IF(NOT(ISBLANK($G89)),$E89&gt;$G89,FALSE)</formula>
    </cfRule>
  </conditionalFormatting>
  <conditionalFormatting sqref="H89:H112">
    <cfRule type="expression" dxfId="202" priority="23">
      <formula>IF(NOT(ISBLANK($H89)),$E89&gt;$H89,FALSE)</formula>
    </cfRule>
  </conditionalFormatting>
  <conditionalFormatting sqref="I89:I112">
    <cfRule type="expression" dxfId="201" priority="22">
      <formula>IF(NOT(ISBLANK($I89)),$E89&gt;$I89,FALSE)</formula>
    </cfRule>
  </conditionalFormatting>
  <conditionalFormatting sqref="J89:J112">
    <cfRule type="expression" dxfId="200" priority="21">
      <formula>IF($J89&lt;&gt;"N/A",OR($J89&lt;0,$J89&gt;10),FALSE)</formula>
    </cfRule>
  </conditionalFormatting>
  <conditionalFormatting sqref="F129:F152">
    <cfRule type="expression" dxfId="199" priority="20">
      <formula>IF(NOT(ISBLANK($F129)),$E129&gt;$F129,FALSE)</formula>
    </cfRule>
  </conditionalFormatting>
  <conditionalFormatting sqref="G129:G152">
    <cfRule type="expression" dxfId="198" priority="19">
      <formula>IF(NOT(ISBLANK($G129)),$E129&gt;$G129,FALSE)</formula>
    </cfRule>
  </conditionalFormatting>
  <conditionalFormatting sqref="H129:H152">
    <cfRule type="expression" dxfId="197" priority="18">
      <formula>IF(NOT(ISBLANK($H129)),$E129&gt;$H129,FALSE)</formula>
    </cfRule>
  </conditionalFormatting>
  <conditionalFormatting sqref="I129:I152">
    <cfRule type="expression" dxfId="196" priority="17">
      <formula>IF(NOT(ISBLANK($I129)),$E129&gt;$I129,FALSE)</formula>
    </cfRule>
  </conditionalFormatting>
  <conditionalFormatting sqref="J129:J152">
    <cfRule type="expression" dxfId="195" priority="16">
      <formula>IF($J129&lt;&gt;"N/A",OR($J129&lt;0,$J129&gt;10),FALSE)</formula>
    </cfRule>
  </conditionalFormatting>
  <conditionalFormatting sqref="F169:F192">
    <cfRule type="expression" dxfId="194" priority="15">
      <formula>IF(NOT(ISBLANK($F169)),$E169&gt;$F169,FALSE)</formula>
    </cfRule>
  </conditionalFormatting>
  <conditionalFormatting sqref="G169:G192">
    <cfRule type="expression" dxfId="193" priority="14">
      <formula>IF(NOT(ISBLANK($G169)),$E169&gt;$G169,FALSE)</formula>
    </cfRule>
  </conditionalFormatting>
  <conditionalFormatting sqref="H169:H192">
    <cfRule type="expression" dxfId="192" priority="13">
      <formula>IF(NOT(ISBLANK($H169)),$E169&gt;$H169,FALSE)</formula>
    </cfRule>
  </conditionalFormatting>
  <conditionalFormatting sqref="I169:I192">
    <cfRule type="expression" dxfId="191" priority="12">
      <formula>IF(NOT(ISBLANK($I169)),$E169&gt;$I169,FALSE)</formula>
    </cfRule>
  </conditionalFormatting>
  <conditionalFormatting sqref="J169:J192">
    <cfRule type="expression" dxfId="190" priority="11">
      <formula>IF($J169&lt;&gt;"N/A",OR($J169&lt;0,$J169&gt;10),FALSE)</formula>
    </cfRule>
  </conditionalFormatting>
  <conditionalFormatting sqref="F209:F232">
    <cfRule type="expression" dxfId="189" priority="10">
      <formula>IF(NOT(ISBLANK($F209)),$E209&gt;$F209,FALSE)</formula>
    </cfRule>
  </conditionalFormatting>
  <conditionalFormatting sqref="G209:G232">
    <cfRule type="expression" dxfId="188" priority="9">
      <formula>IF(NOT(ISBLANK($G209)),$E209&gt;$G209,FALSE)</formula>
    </cfRule>
  </conditionalFormatting>
  <conditionalFormatting sqref="H209:H232">
    <cfRule type="expression" dxfId="187" priority="8">
      <formula>IF(NOT(ISBLANK($H209)),$E209&gt;$H209,FALSE)</formula>
    </cfRule>
  </conditionalFormatting>
  <conditionalFormatting sqref="I209:I232">
    <cfRule type="expression" dxfId="186" priority="7">
      <formula>IF(NOT(ISBLANK($I209)),$E209&gt;$I209,FALSE)</formula>
    </cfRule>
  </conditionalFormatting>
  <conditionalFormatting sqref="J209:J232">
    <cfRule type="expression" dxfId="185" priority="6">
      <formula>IF($J209&lt;&gt;"N/A",OR($J209&lt;0,$J209&gt;10),FALSE)</formula>
    </cfRule>
  </conditionalFormatting>
  <conditionalFormatting sqref="F249:F272">
    <cfRule type="expression" dxfId="184" priority="5">
      <formula>IF(NOT(ISBLANK($F249)),$E249&gt;$F249,FALSE)</formula>
    </cfRule>
  </conditionalFormatting>
  <conditionalFormatting sqref="G249:G272">
    <cfRule type="expression" dxfId="183" priority="4">
      <formula>IF(NOT(ISBLANK($G249)),$E249&gt;$G249,FALSE)</formula>
    </cfRule>
  </conditionalFormatting>
  <conditionalFormatting sqref="H249:H272">
    <cfRule type="expression" dxfId="182" priority="3">
      <formula>IF(NOT(ISBLANK($H249)),$E249&gt;$H249,FALSE)</formula>
    </cfRule>
  </conditionalFormatting>
  <conditionalFormatting sqref="I249:I272">
    <cfRule type="expression" dxfId="181" priority="2">
      <formula>IF(NOT(ISBLANK($I249)),$E249&gt;$I249,FALSE)</formula>
    </cfRule>
  </conditionalFormatting>
  <conditionalFormatting sqref="J249:J272">
    <cfRule type="expression" dxfId="180" priority="1">
      <formula>IF($J249&lt;&gt;"N/A",OR($J249&lt;0,$J249&gt;10),FALSE)</formula>
    </cfRule>
  </conditionalFormatting>
  <dataValidations xWindow="279" yWindow="617" count="2">
    <dataValidation type="decimal" operator="greaterThan" allowBlank="1" showErrorMessage="1" errorTitle="Invalid Weight Entry" error="You must enter a number for the weight." sqref="E49:H72 E89:H112 E129:H152 E169:H192 E209:H232 E249:H272 E9:H32">
      <formula1>0</formula1>
    </dataValidation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49:D72 D89:D112 D129:D152 D169:D192 D209:D232 D249:D272 D9:D32">
      <formula1>"a"</formula1>
    </dataValidation>
  </dataValidations>
  <pageMargins left="0.7" right="0.68518518518518501" top="0.75" bottom="0.75" header="0.3" footer="0.3"/>
  <pageSetup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74"/>
  <sheetViews>
    <sheetView zoomScaleNormal="100" zoomScaleSheetLayoutView="100" workbookViewId="0">
      <selection activeCell="C1" sqref="C1:E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1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15"/>
      <c r="I1" s="15"/>
      <c r="J1" s="15"/>
      <c r="K1" s="16"/>
    </row>
    <row r="2" spans="1:11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55"/>
    </row>
    <row r="3" spans="1:11" ht="14.1" customHeight="1" thickTop="1" thickBot="1" x14ac:dyDescent="0.25">
      <c r="A3" s="142" t="s">
        <v>40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1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1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1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6" t="s">
        <v>18</v>
      </c>
      <c r="K6" s="109" t="s">
        <v>83</v>
      </c>
    </row>
    <row r="7" spans="1:11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10"/>
    </row>
    <row r="8" spans="1:11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11"/>
    </row>
    <row r="9" spans="1:11" ht="21.95" customHeight="1" x14ac:dyDescent="0.25">
      <c r="A9" s="20" t="s">
        <v>85</v>
      </c>
      <c r="B9" s="21" t="str">
        <f ca="1">IF(H9&lt;&gt;"",IF(B9="",NOW(),B9),"")</f>
        <v/>
      </c>
      <c r="C9" s="22"/>
      <c r="D9" s="23"/>
      <c r="E9" s="24"/>
      <c r="F9" s="25"/>
      <c r="G9" s="26"/>
      <c r="H9" s="27"/>
      <c r="I9" s="28" t="str">
        <f t="shared" ref="I9:I18" si="0">IF(F9+G9+H9=0,("N/A"),SUM(F9,G9,H9)/3)</f>
        <v>N/A</v>
      </c>
      <c r="J9" s="72" t="str">
        <f>IF(I9="N/A","N/A",I9-E9)</f>
        <v>N/A</v>
      </c>
      <c r="K9" s="71"/>
    </row>
    <row r="10" spans="1:11" ht="21.95" customHeight="1" x14ac:dyDescent="0.25">
      <c r="A10" s="20" t="s">
        <v>84</v>
      </c>
      <c r="B10" s="21" t="str">
        <f t="shared" ref="B10:B12" ca="1" si="1">IF(H10&lt;&gt;"",IF(B10="",NOW(),B10),"")</f>
        <v/>
      </c>
      <c r="C10" s="22"/>
      <c r="D10" s="23"/>
      <c r="E10" s="24"/>
      <c r="F10" s="25"/>
      <c r="G10" s="26"/>
      <c r="H10" s="27"/>
      <c r="I10" s="28" t="str">
        <f t="shared" si="0"/>
        <v>N/A</v>
      </c>
      <c r="J10" s="72" t="str">
        <f t="shared" ref="J10:J11" si="2">IF(I10="N/A","N/A",I10-E10)</f>
        <v>N/A</v>
      </c>
      <c r="K10" s="71"/>
    </row>
    <row r="11" spans="1:11" ht="21.95" customHeight="1" x14ac:dyDescent="0.25">
      <c r="A11" s="20" t="s">
        <v>38</v>
      </c>
      <c r="B11" s="21" t="str">
        <f t="shared" ca="1" si="1"/>
        <v/>
      </c>
      <c r="C11" s="22"/>
      <c r="D11" s="23"/>
      <c r="E11" s="24"/>
      <c r="F11" s="25"/>
      <c r="G11" s="26"/>
      <c r="H11" s="27"/>
      <c r="I11" s="28" t="str">
        <f t="shared" si="0"/>
        <v>N/A</v>
      </c>
      <c r="J11" s="72" t="str">
        <f t="shared" si="2"/>
        <v>N/A</v>
      </c>
      <c r="K11" s="71"/>
    </row>
    <row r="12" spans="1:11" ht="21.95" customHeight="1" x14ac:dyDescent="0.25">
      <c r="A12" s="20" t="s">
        <v>1</v>
      </c>
      <c r="B12" s="21" t="str">
        <f t="shared" ca="1" si="1"/>
        <v/>
      </c>
      <c r="C12" s="22"/>
      <c r="D12" s="23"/>
      <c r="E12" s="24"/>
      <c r="F12" s="25"/>
      <c r="G12" s="26"/>
      <c r="H12" s="27"/>
      <c r="I12" s="28" t="str">
        <f t="shared" si="0"/>
        <v>N/A</v>
      </c>
      <c r="J12" s="56" t="str">
        <f t="shared" ref="J12" si="3">IF(I12="N/A","N/A",I12-E12)</f>
        <v>N/A</v>
      </c>
      <c r="K12" s="70"/>
    </row>
    <row r="13" spans="1:11" ht="21.95" customHeight="1" x14ac:dyDescent="0.25">
      <c r="A13" s="20" t="s">
        <v>9</v>
      </c>
      <c r="B13" s="21" t="str">
        <f t="shared" ref="B13:B32" ca="1" si="4">IF(H13&lt;&gt;"",IF(B13="",NOW(),B13),"")</f>
        <v/>
      </c>
      <c r="C13" s="22"/>
      <c r="D13" s="23"/>
      <c r="E13" s="24"/>
      <c r="F13" s="25"/>
      <c r="G13" s="26"/>
      <c r="H13" s="27"/>
      <c r="I13" s="28" t="str">
        <f t="shared" si="0"/>
        <v>N/A</v>
      </c>
      <c r="J13" s="56" t="str">
        <f>IF(I13="N/A","N/A",I13-E13)</f>
        <v>N/A</v>
      </c>
      <c r="K13" s="70"/>
    </row>
    <row r="14" spans="1:11" ht="21.95" customHeight="1" x14ac:dyDescent="0.25">
      <c r="A14" s="20" t="s">
        <v>10</v>
      </c>
      <c r="B14" s="21" t="str">
        <f t="shared" ca="1" si="4"/>
        <v/>
      </c>
      <c r="C14" s="22"/>
      <c r="D14" s="23"/>
      <c r="E14" s="24"/>
      <c r="F14" s="25"/>
      <c r="G14" s="26"/>
      <c r="H14" s="27"/>
      <c r="I14" s="28" t="str">
        <f t="shared" si="0"/>
        <v>N/A</v>
      </c>
      <c r="J14" s="56" t="str">
        <f t="shared" ref="J14:J21" si="5">IF(I14="N/A","N/A",I14-E14)</f>
        <v>N/A</v>
      </c>
      <c r="K14" s="70"/>
    </row>
    <row r="15" spans="1:11" ht="21.95" customHeight="1" x14ac:dyDescent="0.25">
      <c r="A15" s="20" t="s">
        <v>11</v>
      </c>
      <c r="B15" s="21" t="str">
        <f t="shared" ca="1" si="4"/>
        <v/>
      </c>
      <c r="C15" s="22"/>
      <c r="D15" s="23"/>
      <c r="E15" s="24"/>
      <c r="F15" s="25"/>
      <c r="G15" s="26"/>
      <c r="H15" s="27"/>
      <c r="I15" s="28" t="str">
        <f t="shared" si="0"/>
        <v>N/A</v>
      </c>
      <c r="J15" s="56" t="str">
        <f t="shared" si="5"/>
        <v>N/A</v>
      </c>
      <c r="K15" s="70"/>
    </row>
    <row r="16" spans="1:11" ht="21.95" customHeight="1" x14ac:dyDescent="0.25">
      <c r="A16" s="20" t="s">
        <v>12</v>
      </c>
      <c r="B16" s="21" t="str">
        <f t="shared" ca="1" si="4"/>
        <v/>
      </c>
      <c r="C16" s="22"/>
      <c r="D16" s="23"/>
      <c r="E16" s="24"/>
      <c r="F16" s="25"/>
      <c r="G16" s="26"/>
      <c r="H16" s="27"/>
      <c r="I16" s="28" t="str">
        <f t="shared" si="0"/>
        <v>N/A</v>
      </c>
      <c r="J16" s="56" t="str">
        <f t="shared" si="5"/>
        <v>N/A</v>
      </c>
      <c r="K16" s="70"/>
    </row>
    <row r="17" spans="1:11" ht="21.95" customHeight="1" x14ac:dyDescent="0.25">
      <c r="A17" s="20" t="s">
        <v>13</v>
      </c>
      <c r="B17" s="21" t="str">
        <f t="shared" ca="1" si="4"/>
        <v/>
      </c>
      <c r="C17" s="22"/>
      <c r="D17" s="23"/>
      <c r="E17" s="24"/>
      <c r="F17" s="25"/>
      <c r="G17" s="26"/>
      <c r="H17" s="27"/>
      <c r="I17" s="28" t="str">
        <f t="shared" si="0"/>
        <v>N/A</v>
      </c>
      <c r="J17" s="56" t="str">
        <f t="shared" si="5"/>
        <v>N/A</v>
      </c>
      <c r="K17" s="70"/>
    </row>
    <row r="18" spans="1:11" ht="21.95" customHeight="1" x14ac:dyDescent="0.25">
      <c r="A18" s="20" t="s">
        <v>14</v>
      </c>
      <c r="B18" s="21" t="str">
        <f t="shared" ca="1" si="4"/>
        <v/>
      </c>
      <c r="C18" s="22"/>
      <c r="D18" s="23"/>
      <c r="E18" s="24"/>
      <c r="F18" s="25"/>
      <c r="G18" s="26"/>
      <c r="H18" s="27"/>
      <c r="I18" s="28" t="str">
        <f t="shared" si="0"/>
        <v>N/A</v>
      </c>
      <c r="J18" s="56" t="str">
        <f t="shared" si="5"/>
        <v>N/A</v>
      </c>
      <c r="K18" s="70"/>
    </row>
    <row r="19" spans="1:11" ht="21.95" customHeight="1" x14ac:dyDescent="0.25">
      <c r="A19" s="20" t="s">
        <v>15</v>
      </c>
      <c r="B19" s="21" t="str">
        <f t="shared" ca="1" si="4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5"/>
        <v>N/A</v>
      </c>
      <c r="K19" s="84"/>
    </row>
    <row r="20" spans="1:11" ht="21.95" customHeight="1" x14ac:dyDescent="0.25">
      <c r="A20" s="30" t="s">
        <v>16</v>
      </c>
      <c r="B20" s="21" t="str">
        <f t="shared" ca="1" si="4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si="5"/>
        <v>N/A</v>
      </c>
      <c r="K20" s="85"/>
    </row>
    <row r="21" spans="1:11" ht="21.95" customHeight="1" x14ac:dyDescent="0.25">
      <c r="A21" s="31" t="s">
        <v>39</v>
      </c>
      <c r="B21" s="21" t="str">
        <f t="shared" ca="1" si="4"/>
        <v/>
      </c>
      <c r="C21" s="22"/>
      <c r="D21" s="23"/>
      <c r="E21" s="24"/>
      <c r="F21" s="67"/>
      <c r="G21" s="68"/>
      <c r="H21" s="27"/>
      <c r="I21" s="28" t="str">
        <f>IF(F21+G21+H21=0,("N/A"),SUM(F21,G21,H21)/3)</f>
        <v>N/A</v>
      </c>
      <c r="J21" s="56" t="str">
        <f t="shared" si="5"/>
        <v>N/A</v>
      </c>
      <c r="K21" s="70"/>
    </row>
    <row r="22" spans="1:11" ht="21.95" customHeight="1" x14ac:dyDescent="0.25">
      <c r="A22" s="31" t="s">
        <v>19</v>
      </c>
      <c r="B22" s="21" t="str">
        <f t="shared" ca="1" si="4"/>
        <v/>
      </c>
      <c r="C22" s="22"/>
      <c r="D22" s="23"/>
      <c r="E22" s="24"/>
      <c r="F22" s="25"/>
      <c r="G22" s="26"/>
      <c r="H22" s="27"/>
      <c r="I22" s="28" t="str">
        <f t="shared" ref="I22:I32" si="6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4"/>
        <v/>
      </c>
      <c r="C23" s="22"/>
      <c r="D23" s="23"/>
      <c r="E23" s="69"/>
      <c r="F23" s="25"/>
      <c r="G23" s="26"/>
      <c r="H23" s="27"/>
      <c r="I23" s="28" t="str">
        <f t="shared" si="6"/>
        <v>N/A</v>
      </c>
      <c r="J23" s="56" t="str">
        <f t="shared" ref="J23:J32" si="7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4"/>
        <v/>
      </c>
      <c r="C24" s="22"/>
      <c r="D24" s="23"/>
      <c r="E24" s="24"/>
      <c r="F24" s="25"/>
      <c r="G24" s="26"/>
      <c r="H24" s="27"/>
      <c r="I24" s="28" t="str">
        <f t="shared" si="6"/>
        <v>N/A</v>
      </c>
      <c r="J24" s="56" t="str">
        <f t="shared" si="7"/>
        <v>N/A</v>
      </c>
      <c r="K24" s="70"/>
    </row>
    <row r="25" spans="1:11" ht="21.95" customHeight="1" x14ac:dyDescent="0.3">
      <c r="A25" s="31" t="s">
        <v>2</v>
      </c>
      <c r="B25" s="21" t="str">
        <f t="shared" ca="1" si="4"/>
        <v/>
      </c>
      <c r="C25" s="22"/>
      <c r="D25" s="45"/>
      <c r="E25" s="24"/>
      <c r="F25" s="25"/>
      <c r="G25" s="26"/>
      <c r="H25" s="27"/>
      <c r="I25" s="28" t="str">
        <f t="shared" si="6"/>
        <v>N/A</v>
      </c>
      <c r="J25" s="56" t="str">
        <f t="shared" si="7"/>
        <v>N/A</v>
      </c>
      <c r="K25" s="70"/>
    </row>
    <row r="26" spans="1:11" ht="21.95" customHeight="1" x14ac:dyDescent="0.25">
      <c r="A26" s="31" t="s">
        <v>22</v>
      </c>
      <c r="B26" s="21" t="str">
        <f t="shared" ca="1" si="4"/>
        <v/>
      </c>
      <c r="C26" s="22"/>
      <c r="D26" s="23"/>
      <c r="E26" s="24"/>
      <c r="F26" s="25"/>
      <c r="G26" s="26"/>
      <c r="H26" s="27"/>
      <c r="I26" s="28" t="str">
        <f t="shared" si="6"/>
        <v>N/A</v>
      </c>
      <c r="J26" s="56" t="str">
        <f t="shared" si="7"/>
        <v>N/A</v>
      </c>
      <c r="K26" s="70"/>
    </row>
    <row r="27" spans="1:11" ht="21.95" customHeight="1" x14ac:dyDescent="0.3">
      <c r="A27" s="31" t="s">
        <v>23</v>
      </c>
      <c r="B27" s="21" t="str">
        <f t="shared" ca="1" si="4"/>
        <v/>
      </c>
      <c r="C27" s="22"/>
      <c r="D27" s="45"/>
      <c r="E27" s="24"/>
      <c r="F27" s="25"/>
      <c r="G27" s="26"/>
      <c r="H27" s="27"/>
      <c r="I27" s="28" t="str">
        <f t="shared" si="6"/>
        <v>N/A</v>
      </c>
      <c r="J27" s="56" t="str">
        <f t="shared" si="7"/>
        <v>N/A</v>
      </c>
      <c r="K27" s="70"/>
    </row>
    <row r="28" spans="1:11" ht="21.95" customHeight="1" x14ac:dyDescent="0.3">
      <c r="A28" s="31" t="s">
        <v>24</v>
      </c>
      <c r="B28" s="21" t="str">
        <f t="shared" ca="1" si="4"/>
        <v/>
      </c>
      <c r="C28" s="22"/>
      <c r="D28" s="45"/>
      <c r="E28" s="24"/>
      <c r="F28" s="25"/>
      <c r="G28" s="26"/>
      <c r="H28" s="27"/>
      <c r="I28" s="28" t="str">
        <f t="shared" si="6"/>
        <v>N/A</v>
      </c>
      <c r="J28" s="56" t="str">
        <f t="shared" si="7"/>
        <v>N/A</v>
      </c>
      <c r="K28" s="70"/>
    </row>
    <row r="29" spans="1:11" ht="21.95" customHeight="1" x14ac:dyDescent="0.3">
      <c r="A29" s="31" t="s">
        <v>25</v>
      </c>
      <c r="B29" s="21" t="str">
        <f t="shared" ca="1" si="4"/>
        <v/>
      </c>
      <c r="C29" s="22"/>
      <c r="D29" s="45"/>
      <c r="E29" s="24"/>
      <c r="F29" s="25"/>
      <c r="G29" s="26"/>
      <c r="H29" s="27"/>
      <c r="I29" s="28" t="str">
        <f t="shared" si="6"/>
        <v>N/A</v>
      </c>
      <c r="J29" s="56" t="str">
        <f t="shared" si="7"/>
        <v>N/A</v>
      </c>
      <c r="K29" s="70"/>
    </row>
    <row r="30" spans="1:11" ht="21.95" customHeight="1" x14ac:dyDescent="0.3">
      <c r="A30" s="87" t="s">
        <v>77</v>
      </c>
      <c r="B30" s="21" t="str">
        <f t="shared" ca="1" si="4"/>
        <v/>
      </c>
      <c r="C30" s="22"/>
      <c r="D30" s="45"/>
      <c r="E30" s="24"/>
      <c r="F30" s="25"/>
      <c r="G30" s="26"/>
      <c r="H30" s="27"/>
      <c r="I30" s="28" t="str">
        <f t="shared" si="6"/>
        <v>N/A</v>
      </c>
      <c r="J30" s="56" t="str">
        <f t="shared" si="7"/>
        <v>N/A</v>
      </c>
      <c r="K30" s="84"/>
    </row>
    <row r="31" spans="1:11" ht="21.95" customHeight="1" x14ac:dyDescent="0.3">
      <c r="A31" s="87" t="s">
        <v>86</v>
      </c>
      <c r="B31" s="21" t="str">
        <f t="shared" ca="1" si="4"/>
        <v/>
      </c>
      <c r="C31" s="22"/>
      <c r="D31" s="45"/>
      <c r="E31" s="24"/>
      <c r="F31" s="25"/>
      <c r="G31" s="26"/>
      <c r="H31" s="27"/>
      <c r="I31" s="28" t="str">
        <f t="shared" si="6"/>
        <v>N/A</v>
      </c>
      <c r="J31" s="56" t="str">
        <f t="shared" si="7"/>
        <v>N/A</v>
      </c>
      <c r="K31" s="84"/>
    </row>
    <row r="32" spans="1:11" ht="21.95" customHeight="1" x14ac:dyDescent="0.3">
      <c r="A32" s="87" t="s">
        <v>87</v>
      </c>
      <c r="B32" s="21" t="str">
        <f t="shared" ca="1" si="4"/>
        <v/>
      </c>
      <c r="C32" s="22"/>
      <c r="D32" s="45"/>
      <c r="E32" s="24"/>
      <c r="F32" s="25"/>
      <c r="G32" s="26"/>
      <c r="H32" s="27"/>
      <c r="I32" s="28" t="str">
        <f t="shared" si="6"/>
        <v>N/A</v>
      </c>
      <c r="J32" s="56" t="str">
        <f t="shared" si="7"/>
        <v>N/A</v>
      </c>
      <c r="K32" s="84"/>
    </row>
    <row r="33" spans="1:11" ht="18" customHeight="1" x14ac:dyDescent="0.25">
      <c r="A33" s="146" t="s">
        <v>27</v>
      </c>
      <c r="B33" s="146"/>
      <c r="C33" s="146"/>
      <c r="D33" s="146"/>
      <c r="E33" s="147"/>
      <c r="F33" s="51" t="str">
        <f>IF(COUNT(J9:J19),AVERAGE(J9:J19),"N/A")</f>
        <v>N/A</v>
      </c>
      <c r="G33" s="65"/>
      <c r="H33" s="58"/>
      <c r="I33" s="58"/>
      <c r="J33" s="64"/>
      <c r="K33" s="55"/>
    </row>
    <row r="34" spans="1:11" ht="18" customHeight="1" x14ac:dyDescent="0.25">
      <c r="A34" s="36"/>
      <c r="B34" s="35"/>
      <c r="D34" s="36"/>
      <c r="E34" s="37"/>
      <c r="F34" s="52"/>
      <c r="G34" s="62"/>
      <c r="H34" s="62"/>
      <c r="I34" s="62"/>
      <c r="K34" s="55"/>
    </row>
    <row r="35" spans="1:11" ht="18" customHeight="1" x14ac:dyDescent="0.25">
      <c r="A35" s="107" t="s">
        <v>28</v>
      </c>
      <c r="B35" s="107"/>
      <c r="C35" s="107"/>
      <c r="D35" s="107"/>
      <c r="E35" s="108"/>
      <c r="F35" s="51" t="str">
        <f>IF(COUNT(J20:J32),AVERAGE(J20:J32),"N/A")</f>
        <v>N/A</v>
      </c>
      <c r="G35" s="66"/>
      <c r="H35" s="58"/>
      <c r="I35" s="58"/>
      <c r="J35" s="53"/>
      <c r="K35" s="55"/>
    </row>
    <row r="36" spans="1:11" ht="18" customHeight="1" x14ac:dyDescent="0.25">
      <c r="A36" s="37"/>
      <c r="B36" s="40"/>
      <c r="D36" s="37"/>
      <c r="E36" s="37"/>
      <c r="F36" s="52"/>
      <c r="G36" s="62"/>
      <c r="H36" s="62"/>
      <c r="I36" s="62"/>
      <c r="K36" s="55"/>
    </row>
    <row r="37" spans="1:11" ht="18" customHeight="1" x14ac:dyDescent="0.25">
      <c r="A37" s="107" t="s">
        <v>29</v>
      </c>
      <c r="B37" s="107"/>
      <c r="C37" s="107"/>
      <c r="D37" s="107"/>
      <c r="E37" s="108"/>
      <c r="F37" s="59" t="str">
        <f>IF(COUNT(J9:J32),AVERAGE(J9:J32),"N/A")</f>
        <v>N/A</v>
      </c>
      <c r="G37" s="58"/>
      <c r="H37" s="58"/>
      <c r="I37" s="58"/>
      <c r="K37" s="55"/>
    </row>
    <row r="38" spans="1:11" ht="18" customHeight="1" x14ac:dyDescent="0.25">
      <c r="A38" s="39"/>
      <c r="B38" s="40"/>
      <c r="C38" s="38"/>
      <c r="D38" s="38"/>
      <c r="E38" s="38"/>
      <c r="F38" s="38"/>
      <c r="G38" s="38"/>
      <c r="H38" s="38"/>
      <c r="I38" s="38"/>
      <c r="J38" s="62"/>
      <c r="K38" s="55"/>
    </row>
    <row r="39" spans="1:11" ht="18" customHeight="1" thickBot="1" x14ac:dyDescent="0.25">
      <c r="A39" s="41"/>
      <c r="B39" s="42"/>
      <c r="C39" s="42"/>
      <c r="D39" s="42"/>
      <c r="E39" s="43"/>
      <c r="F39" s="43"/>
      <c r="G39" s="43"/>
      <c r="H39" s="43"/>
      <c r="I39" s="43"/>
      <c r="J39" s="43"/>
      <c r="K39" s="44"/>
    </row>
    <row r="40" spans="1:11" ht="23.25" thickTop="1" x14ac:dyDescent="0.3">
      <c r="A40" s="13" t="s">
        <v>17</v>
      </c>
      <c r="B40" s="14"/>
      <c r="C40" s="120"/>
      <c r="D40" s="121"/>
      <c r="E40" s="122"/>
      <c r="F40" s="123" t="s">
        <v>31</v>
      </c>
      <c r="G40" s="124"/>
      <c r="H40" s="15"/>
      <c r="I40" s="15"/>
      <c r="J40" s="53"/>
      <c r="K40" s="16"/>
    </row>
    <row r="41" spans="1:11" ht="13.5" thickBot="1" x14ac:dyDescent="0.2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55"/>
    </row>
    <row r="42" spans="1:11" ht="14.1" customHeight="1" thickTop="1" thickBot="1" x14ac:dyDescent="0.25">
      <c r="A42" s="142" t="s">
        <v>40</v>
      </c>
      <c r="B42" s="143"/>
      <c r="C42" s="143"/>
      <c r="D42" s="143"/>
      <c r="E42" s="148" t="s">
        <v>8</v>
      </c>
      <c r="F42" s="148"/>
      <c r="G42" s="148"/>
      <c r="H42" s="148"/>
      <c r="I42" s="148"/>
      <c r="J42" s="149"/>
      <c r="K42" s="89"/>
    </row>
    <row r="43" spans="1:11" ht="14.1" customHeight="1" thickTop="1" thickBot="1" x14ac:dyDescent="0.25">
      <c r="A43" s="142"/>
      <c r="B43" s="143"/>
      <c r="C43" s="143"/>
      <c r="D43" s="143"/>
      <c r="E43" s="148"/>
      <c r="F43" s="148"/>
      <c r="G43" s="148"/>
      <c r="H43" s="148"/>
      <c r="I43" s="148"/>
      <c r="J43" s="149"/>
      <c r="K43" s="90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1"/>
    </row>
    <row r="45" spans="1:11" ht="20.100000000000001" customHeight="1" thickTop="1" x14ac:dyDescent="0.2">
      <c r="A45" s="129" t="s">
        <v>3</v>
      </c>
      <c r="B45" s="130" t="s">
        <v>41</v>
      </c>
      <c r="C45" s="119" t="s">
        <v>26</v>
      </c>
      <c r="D45" s="112" t="s">
        <v>47</v>
      </c>
      <c r="E45" s="114" t="s">
        <v>0</v>
      </c>
      <c r="F45" s="114" t="s">
        <v>4</v>
      </c>
      <c r="G45" s="114" t="s">
        <v>5</v>
      </c>
      <c r="H45" s="114" t="s">
        <v>6</v>
      </c>
      <c r="I45" s="116" t="s">
        <v>7</v>
      </c>
      <c r="J45" s="126" t="s">
        <v>18</v>
      </c>
      <c r="K45" s="109" t="s">
        <v>83</v>
      </c>
    </row>
    <row r="46" spans="1:11" ht="20.100000000000001" customHeight="1" x14ac:dyDescent="0.2">
      <c r="A46" s="129"/>
      <c r="B46" s="130"/>
      <c r="C46" s="119"/>
      <c r="D46" s="112"/>
      <c r="E46" s="114"/>
      <c r="F46" s="114"/>
      <c r="G46" s="114"/>
      <c r="H46" s="114"/>
      <c r="I46" s="116"/>
      <c r="J46" s="126"/>
      <c r="K46" s="110"/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7"/>
      <c r="J47" s="126"/>
      <c r="K47" s="111"/>
    </row>
    <row r="48" spans="1:11" ht="21.95" customHeight="1" x14ac:dyDescent="0.25">
      <c r="A48" s="20" t="s">
        <v>85</v>
      </c>
      <c r="B48" s="21" t="str">
        <f ca="1">IF(H48&lt;&gt;"",IF(B48="",NOW(),B48),"")</f>
        <v/>
      </c>
      <c r="C48" s="22"/>
      <c r="D48" s="23"/>
      <c r="E48" s="24"/>
      <c r="F48" s="25"/>
      <c r="G48" s="26"/>
      <c r="H48" s="27"/>
      <c r="I48" s="28" t="str">
        <f t="shared" ref="I48:I57" si="8">IF(F48+G48+H48=0,("N/A"),SUM(F48,G48,H48)/3)</f>
        <v>N/A</v>
      </c>
      <c r="J48" s="72" t="str">
        <f>IF(I48="N/A","N/A",I48-E48)</f>
        <v>N/A</v>
      </c>
      <c r="K48" s="71"/>
    </row>
    <row r="49" spans="1:11" ht="21.95" customHeight="1" x14ac:dyDescent="0.25">
      <c r="A49" s="20" t="s">
        <v>84</v>
      </c>
      <c r="B49" s="21" t="str">
        <f t="shared" ref="B49:B50" ca="1" si="9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si="8"/>
        <v>N/A</v>
      </c>
      <c r="J49" s="72" t="str">
        <f t="shared" ref="J49:J50" si="10">IF(I49="N/A","N/A",I49-E49)</f>
        <v>N/A</v>
      </c>
      <c r="K49" s="71"/>
    </row>
    <row r="50" spans="1:11" ht="21.95" customHeight="1" x14ac:dyDescent="0.25">
      <c r="A50" s="20" t="s">
        <v>38</v>
      </c>
      <c r="B50" s="21" t="str">
        <f t="shared" ca="1" si="9"/>
        <v/>
      </c>
      <c r="C50" s="22"/>
      <c r="D50" s="23"/>
      <c r="E50" s="24"/>
      <c r="F50" s="25"/>
      <c r="G50" s="26"/>
      <c r="H50" s="27"/>
      <c r="I50" s="28" t="str">
        <f t="shared" si="8"/>
        <v>N/A</v>
      </c>
      <c r="J50" s="72" t="str">
        <f t="shared" si="10"/>
        <v>N/A</v>
      </c>
      <c r="K50" s="71"/>
    </row>
    <row r="51" spans="1:11" ht="21.95" customHeight="1" x14ac:dyDescent="0.25">
      <c r="A51" s="20" t="s">
        <v>1</v>
      </c>
      <c r="B51" s="21" t="str">
        <f t="shared" ref="B51:B71" ca="1" si="11">IF(H51&lt;&gt;"",IF(B51="",NOW(),B51),"")</f>
        <v/>
      </c>
      <c r="C51" s="22"/>
      <c r="D51" s="23"/>
      <c r="E51" s="24"/>
      <c r="F51" s="25"/>
      <c r="G51" s="26"/>
      <c r="H51" s="27"/>
      <c r="I51" s="28" t="str">
        <f t="shared" si="8"/>
        <v>N/A</v>
      </c>
      <c r="J51" s="56" t="str">
        <f t="shared" ref="J51" si="12">IF(I51="N/A","N/A",I51-E51)</f>
        <v>N/A</v>
      </c>
      <c r="K51" s="70"/>
    </row>
    <row r="52" spans="1:11" ht="21.95" customHeight="1" x14ac:dyDescent="0.25">
      <c r="A52" s="20" t="s">
        <v>9</v>
      </c>
      <c r="B52" s="21" t="str">
        <f t="shared" ca="1" si="11"/>
        <v/>
      </c>
      <c r="C52" s="22"/>
      <c r="D52" s="23"/>
      <c r="E52" s="24"/>
      <c r="F52" s="25"/>
      <c r="G52" s="26"/>
      <c r="H52" s="27"/>
      <c r="I52" s="28" t="str">
        <f t="shared" si="8"/>
        <v>N/A</v>
      </c>
      <c r="J52" s="56" t="str">
        <f>IF(I52="N/A","N/A",I52-E52)</f>
        <v>N/A</v>
      </c>
      <c r="K52" s="70"/>
    </row>
    <row r="53" spans="1:11" ht="21.95" customHeight="1" x14ac:dyDescent="0.25">
      <c r="A53" s="20" t="s">
        <v>10</v>
      </c>
      <c r="B53" s="21" t="str">
        <f t="shared" ca="1" si="11"/>
        <v/>
      </c>
      <c r="C53" s="22"/>
      <c r="D53" s="23"/>
      <c r="E53" s="24"/>
      <c r="F53" s="25"/>
      <c r="G53" s="26"/>
      <c r="H53" s="27"/>
      <c r="I53" s="28" t="str">
        <f t="shared" si="8"/>
        <v>N/A</v>
      </c>
      <c r="J53" s="56" t="str">
        <f t="shared" ref="J53:J60" si="13">IF(I53="N/A","N/A",I53-E53)</f>
        <v>N/A</v>
      </c>
      <c r="K53" s="70"/>
    </row>
    <row r="54" spans="1:11" ht="21.95" customHeight="1" x14ac:dyDescent="0.25">
      <c r="A54" s="20" t="s">
        <v>11</v>
      </c>
      <c r="B54" s="21" t="str">
        <f t="shared" ca="1" si="11"/>
        <v/>
      </c>
      <c r="C54" s="22"/>
      <c r="D54" s="23"/>
      <c r="E54" s="24"/>
      <c r="F54" s="25"/>
      <c r="G54" s="26"/>
      <c r="H54" s="27"/>
      <c r="I54" s="28" t="str">
        <f t="shared" si="8"/>
        <v>N/A</v>
      </c>
      <c r="J54" s="56" t="str">
        <f t="shared" si="13"/>
        <v>N/A</v>
      </c>
      <c r="K54" s="70"/>
    </row>
    <row r="55" spans="1:11" ht="21.95" customHeight="1" x14ac:dyDescent="0.25">
      <c r="A55" s="20" t="s">
        <v>12</v>
      </c>
      <c r="B55" s="21" t="str">
        <f t="shared" ca="1" si="11"/>
        <v/>
      </c>
      <c r="C55" s="22"/>
      <c r="D55" s="23"/>
      <c r="E55" s="24"/>
      <c r="F55" s="25"/>
      <c r="G55" s="26"/>
      <c r="H55" s="27"/>
      <c r="I55" s="28" t="str">
        <f t="shared" si="8"/>
        <v>N/A</v>
      </c>
      <c r="J55" s="56" t="str">
        <f t="shared" si="13"/>
        <v>N/A</v>
      </c>
      <c r="K55" s="70"/>
    </row>
    <row r="56" spans="1:11" ht="21.95" customHeight="1" x14ac:dyDescent="0.25">
      <c r="A56" s="20" t="s">
        <v>13</v>
      </c>
      <c r="B56" s="21" t="str">
        <f t="shared" ca="1" si="11"/>
        <v/>
      </c>
      <c r="C56" s="22"/>
      <c r="D56" s="23"/>
      <c r="E56" s="24"/>
      <c r="F56" s="25"/>
      <c r="G56" s="26"/>
      <c r="H56" s="27"/>
      <c r="I56" s="28" t="str">
        <f t="shared" si="8"/>
        <v>N/A</v>
      </c>
      <c r="J56" s="56" t="str">
        <f t="shared" si="13"/>
        <v>N/A</v>
      </c>
      <c r="K56" s="70"/>
    </row>
    <row r="57" spans="1:11" ht="21.95" customHeight="1" x14ac:dyDescent="0.25">
      <c r="A57" s="20" t="s">
        <v>14</v>
      </c>
      <c r="B57" s="21" t="str">
        <f t="shared" ca="1" si="11"/>
        <v/>
      </c>
      <c r="C57" s="22"/>
      <c r="D57" s="23"/>
      <c r="E57" s="24"/>
      <c r="F57" s="25"/>
      <c r="G57" s="26"/>
      <c r="H57" s="27"/>
      <c r="I57" s="28" t="str">
        <f t="shared" si="8"/>
        <v>N/A</v>
      </c>
      <c r="J57" s="56" t="str">
        <f t="shared" si="13"/>
        <v>N/A</v>
      </c>
      <c r="K57" s="70"/>
    </row>
    <row r="58" spans="1:11" ht="21.95" customHeight="1" x14ac:dyDescent="0.25">
      <c r="A58" s="20" t="s">
        <v>15</v>
      </c>
      <c r="B58" s="21" t="str">
        <f t="shared" ca="1" si="11"/>
        <v/>
      </c>
      <c r="C58" s="22"/>
      <c r="D58" s="23"/>
      <c r="E58" s="24"/>
      <c r="F58" s="25"/>
      <c r="G58" s="26"/>
      <c r="H58" s="27"/>
      <c r="I58" s="28" t="str">
        <f>IF(F58+G58+H58=0,("N/A"),SUM(F58,G58,H58)/3)</f>
        <v>N/A</v>
      </c>
      <c r="J58" s="56" t="str">
        <f t="shared" si="13"/>
        <v>N/A</v>
      </c>
      <c r="K58" s="84"/>
    </row>
    <row r="59" spans="1:11" ht="21.95" customHeight="1" x14ac:dyDescent="0.25">
      <c r="A59" s="30" t="s">
        <v>16</v>
      </c>
      <c r="B59" s="21" t="str">
        <f t="shared" ca="1" si="11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13"/>
        <v>N/A</v>
      </c>
      <c r="K59" s="85"/>
    </row>
    <row r="60" spans="1:11" ht="21.95" customHeight="1" x14ac:dyDescent="0.25">
      <c r="A60" s="31" t="s">
        <v>39</v>
      </c>
      <c r="B60" s="21" t="str">
        <f t="shared" ca="1" si="11"/>
        <v/>
      </c>
      <c r="C60" s="22"/>
      <c r="D60" s="23"/>
      <c r="E60" s="24"/>
      <c r="F60" s="67"/>
      <c r="G60" s="68"/>
      <c r="H60" s="27"/>
      <c r="I60" s="28" t="str">
        <f>IF(F60+G60+H60=0,("N/A"),SUM(F60,G60,H60)/3)</f>
        <v>N/A</v>
      </c>
      <c r="J60" s="56" t="str">
        <f t="shared" si="13"/>
        <v>N/A</v>
      </c>
      <c r="K60" s="70"/>
    </row>
    <row r="61" spans="1:11" ht="21.95" customHeight="1" x14ac:dyDescent="0.25">
      <c r="A61" s="31" t="s">
        <v>19</v>
      </c>
      <c r="B61" s="21" t="str">
        <f t="shared" ca="1" si="11"/>
        <v/>
      </c>
      <c r="C61" s="22"/>
      <c r="D61" s="23"/>
      <c r="E61" s="24"/>
      <c r="F61" s="25"/>
      <c r="G61" s="26"/>
      <c r="H61" s="27"/>
      <c r="I61" s="28" t="str">
        <f t="shared" ref="I61:I71" si="14">IF(F61+G61+H61=0,("N/A"),SUM(F61,G61,H61)/3)</f>
        <v>N/A</v>
      </c>
      <c r="J61" s="56" t="str">
        <f>IF(I61="N/A","N/A",I61-E61)</f>
        <v>N/A</v>
      </c>
      <c r="K61" s="70"/>
    </row>
    <row r="62" spans="1:11" ht="21.95" customHeight="1" x14ac:dyDescent="0.25">
      <c r="A62" s="31" t="s">
        <v>20</v>
      </c>
      <c r="B62" s="21" t="str">
        <f t="shared" ca="1" si="11"/>
        <v/>
      </c>
      <c r="C62" s="22"/>
      <c r="D62" s="23"/>
      <c r="E62" s="69"/>
      <c r="F62" s="25"/>
      <c r="G62" s="26"/>
      <c r="H62" s="27"/>
      <c r="I62" s="28" t="str">
        <f t="shared" si="14"/>
        <v>N/A</v>
      </c>
      <c r="J62" s="56" t="str">
        <f t="shared" ref="J62:J71" si="15">IF(I62="N/A","N/A",I62-E62)</f>
        <v>N/A</v>
      </c>
      <c r="K62" s="70"/>
    </row>
    <row r="63" spans="1:11" ht="21.95" customHeight="1" x14ac:dyDescent="0.25">
      <c r="A63" s="31" t="s">
        <v>21</v>
      </c>
      <c r="B63" s="21" t="str">
        <f t="shared" ca="1" si="11"/>
        <v/>
      </c>
      <c r="C63" s="22"/>
      <c r="D63" s="23"/>
      <c r="E63" s="24"/>
      <c r="F63" s="25"/>
      <c r="G63" s="26"/>
      <c r="H63" s="27"/>
      <c r="I63" s="28" t="str">
        <f t="shared" si="14"/>
        <v>N/A</v>
      </c>
      <c r="J63" s="56" t="str">
        <f t="shared" si="15"/>
        <v>N/A</v>
      </c>
      <c r="K63" s="70"/>
    </row>
    <row r="64" spans="1:11" ht="21.95" customHeight="1" x14ac:dyDescent="0.3">
      <c r="A64" s="31" t="s">
        <v>2</v>
      </c>
      <c r="B64" s="21" t="str">
        <f t="shared" ca="1" si="11"/>
        <v/>
      </c>
      <c r="C64" s="22"/>
      <c r="D64" s="45"/>
      <c r="E64" s="24"/>
      <c r="F64" s="25"/>
      <c r="G64" s="26"/>
      <c r="H64" s="27"/>
      <c r="I64" s="28" t="str">
        <f t="shared" si="14"/>
        <v>N/A</v>
      </c>
      <c r="J64" s="56" t="str">
        <f t="shared" si="15"/>
        <v>N/A</v>
      </c>
      <c r="K64" s="70"/>
    </row>
    <row r="65" spans="1:11" ht="21.95" customHeight="1" x14ac:dyDescent="0.25">
      <c r="A65" s="31" t="s">
        <v>22</v>
      </c>
      <c r="B65" s="21" t="str">
        <f t="shared" ca="1" si="11"/>
        <v/>
      </c>
      <c r="C65" s="22"/>
      <c r="D65" s="23"/>
      <c r="E65" s="24"/>
      <c r="F65" s="25"/>
      <c r="G65" s="26"/>
      <c r="H65" s="27"/>
      <c r="I65" s="28" t="str">
        <f t="shared" si="14"/>
        <v>N/A</v>
      </c>
      <c r="J65" s="56" t="str">
        <f t="shared" si="15"/>
        <v>N/A</v>
      </c>
      <c r="K65" s="70"/>
    </row>
    <row r="66" spans="1:11" ht="21.95" customHeight="1" x14ac:dyDescent="0.3">
      <c r="A66" s="31" t="s">
        <v>23</v>
      </c>
      <c r="B66" s="21" t="str">
        <f t="shared" ca="1" si="11"/>
        <v/>
      </c>
      <c r="C66" s="22"/>
      <c r="D66" s="45"/>
      <c r="E66" s="24"/>
      <c r="F66" s="25"/>
      <c r="G66" s="26"/>
      <c r="H66" s="27"/>
      <c r="I66" s="28" t="str">
        <f t="shared" si="14"/>
        <v>N/A</v>
      </c>
      <c r="J66" s="56" t="str">
        <f t="shared" si="15"/>
        <v>N/A</v>
      </c>
      <c r="K66" s="70"/>
    </row>
    <row r="67" spans="1:11" ht="21.95" customHeight="1" x14ac:dyDescent="0.3">
      <c r="A67" s="31" t="s">
        <v>24</v>
      </c>
      <c r="B67" s="21" t="str">
        <f t="shared" ca="1" si="11"/>
        <v/>
      </c>
      <c r="C67" s="22"/>
      <c r="D67" s="45"/>
      <c r="E67" s="24"/>
      <c r="F67" s="25"/>
      <c r="G67" s="26"/>
      <c r="H67" s="27"/>
      <c r="I67" s="28" t="str">
        <f t="shared" si="14"/>
        <v>N/A</v>
      </c>
      <c r="J67" s="56" t="str">
        <f t="shared" si="15"/>
        <v>N/A</v>
      </c>
      <c r="K67" s="70"/>
    </row>
    <row r="68" spans="1:11" ht="21.95" customHeight="1" x14ac:dyDescent="0.3">
      <c r="A68" s="31" t="s">
        <v>25</v>
      </c>
      <c r="B68" s="21" t="str">
        <f t="shared" ca="1" si="11"/>
        <v/>
      </c>
      <c r="C68" s="22"/>
      <c r="D68" s="45"/>
      <c r="E68" s="24"/>
      <c r="F68" s="25"/>
      <c r="G68" s="26"/>
      <c r="H68" s="27"/>
      <c r="I68" s="28" t="str">
        <f t="shared" si="14"/>
        <v>N/A</v>
      </c>
      <c r="J68" s="56" t="str">
        <f t="shared" si="15"/>
        <v>N/A</v>
      </c>
      <c r="K68" s="70"/>
    </row>
    <row r="69" spans="1:11" ht="21.95" customHeight="1" x14ac:dyDescent="0.3">
      <c r="A69" s="87" t="s">
        <v>77</v>
      </c>
      <c r="B69" s="21" t="str">
        <f t="shared" ca="1" si="11"/>
        <v/>
      </c>
      <c r="C69" s="22"/>
      <c r="D69" s="45"/>
      <c r="E69" s="24"/>
      <c r="F69" s="25"/>
      <c r="G69" s="26"/>
      <c r="H69" s="27"/>
      <c r="I69" s="28" t="str">
        <f t="shared" si="14"/>
        <v>N/A</v>
      </c>
      <c r="J69" s="56" t="str">
        <f t="shared" si="15"/>
        <v>N/A</v>
      </c>
      <c r="K69" s="84"/>
    </row>
    <row r="70" spans="1:11" ht="21.95" customHeight="1" x14ac:dyDescent="0.3">
      <c r="A70" s="87" t="s">
        <v>86</v>
      </c>
      <c r="B70" s="21" t="str">
        <f t="shared" ca="1" si="11"/>
        <v/>
      </c>
      <c r="C70" s="22"/>
      <c r="D70" s="45"/>
      <c r="E70" s="24"/>
      <c r="F70" s="25"/>
      <c r="G70" s="26"/>
      <c r="H70" s="27"/>
      <c r="I70" s="28" t="str">
        <f t="shared" si="14"/>
        <v>N/A</v>
      </c>
      <c r="J70" s="56" t="str">
        <f t="shared" si="15"/>
        <v>N/A</v>
      </c>
      <c r="K70" s="84"/>
    </row>
    <row r="71" spans="1:11" ht="21.95" customHeight="1" thickBot="1" x14ac:dyDescent="0.35">
      <c r="A71" s="33" t="s">
        <v>87</v>
      </c>
      <c r="B71" s="21" t="str">
        <f t="shared" ca="1" si="11"/>
        <v/>
      </c>
      <c r="C71" s="22"/>
      <c r="D71" s="45"/>
      <c r="E71" s="24"/>
      <c r="F71" s="25"/>
      <c r="G71" s="26"/>
      <c r="H71" s="27"/>
      <c r="I71" s="28" t="str">
        <f t="shared" si="14"/>
        <v>N/A</v>
      </c>
      <c r="J71" s="56" t="str">
        <f t="shared" si="15"/>
        <v>N/A</v>
      </c>
      <c r="K71" s="83"/>
    </row>
    <row r="72" spans="1:11" ht="18" customHeight="1" x14ac:dyDescent="0.25">
      <c r="A72" s="146" t="s">
        <v>27</v>
      </c>
      <c r="B72" s="146"/>
      <c r="C72" s="146"/>
      <c r="D72" s="146"/>
      <c r="E72" s="147"/>
      <c r="F72" s="51" t="str">
        <f>IF(COUNT(J48:J58),AVERAGE(J48:J58),"N/A")</f>
        <v>N/A</v>
      </c>
      <c r="G72" s="65"/>
      <c r="H72" s="58"/>
      <c r="I72" s="58"/>
      <c r="J72" s="64"/>
      <c r="K72" s="55"/>
    </row>
    <row r="73" spans="1:11" ht="18" customHeight="1" x14ac:dyDescent="0.25">
      <c r="A73" s="36"/>
      <c r="B73" s="35"/>
      <c r="D73" s="36"/>
      <c r="E73" s="37"/>
      <c r="F73" s="52"/>
      <c r="G73" s="62"/>
      <c r="H73" s="62"/>
      <c r="I73" s="62"/>
      <c r="K73" s="55"/>
    </row>
    <row r="74" spans="1:11" ht="18" customHeight="1" x14ac:dyDescent="0.25">
      <c r="A74" s="107" t="s">
        <v>28</v>
      </c>
      <c r="B74" s="107"/>
      <c r="C74" s="107"/>
      <c r="D74" s="107"/>
      <c r="E74" s="108"/>
      <c r="F74" s="51" t="str">
        <f>IF(COUNT(J59:J71),AVERAGE(J59:J71),"N/A")</f>
        <v>N/A</v>
      </c>
      <c r="G74" s="66"/>
      <c r="H74" s="58"/>
      <c r="I74" s="58"/>
      <c r="K74" s="55"/>
    </row>
    <row r="75" spans="1:11" ht="18" customHeight="1" x14ac:dyDescent="0.25">
      <c r="A75" s="37"/>
      <c r="B75" s="40"/>
      <c r="D75" s="37"/>
      <c r="E75" s="37"/>
      <c r="F75" s="52"/>
      <c r="G75" s="62"/>
      <c r="H75" s="62"/>
      <c r="I75" s="62"/>
      <c r="K75" s="55"/>
    </row>
    <row r="76" spans="1:11" ht="18" customHeight="1" x14ac:dyDescent="0.25">
      <c r="A76" s="107" t="s">
        <v>29</v>
      </c>
      <c r="B76" s="107"/>
      <c r="C76" s="107"/>
      <c r="D76" s="107"/>
      <c r="E76" s="108"/>
      <c r="F76" s="59" t="str">
        <f>IF(COUNT(J48:J71),AVERAGE(J48:J71),"N/A")</f>
        <v>N/A</v>
      </c>
      <c r="G76" s="58"/>
      <c r="H76" s="58"/>
      <c r="I76" s="58"/>
      <c r="K76" s="55"/>
    </row>
    <row r="77" spans="1:11" ht="18" customHeight="1" x14ac:dyDescent="0.25">
      <c r="A77" s="39"/>
      <c r="B77" s="40"/>
      <c r="C77" s="62"/>
      <c r="D77" s="62"/>
      <c r="E77" s="62"/>
      <c r="F77" s="62"/>
      <c r="G77" s="62"/>
      <c r="H77" s="62"/>
      <c r="I77" s="62"/>
      <c r="J77" s="62"/>
      <c r="K77" s="55"/>
    </row>
    <row r="78" spans="1:11" ht="18" customHeight="1" thickBot="1" x14ac:dyDescent="0.25">
      <c r="A78" s="41"/>
      <c r="B78" s="42"/>
      <c r="C78" s="42"/>
      <c r="D78" s="42"/>
      <c r="E78" s="43"/>
      <c r="F78" s="43"/>
      <c r="G78" s="43"/>
      <c r="H78" s="43"/>
      <c r="I78" s="43"/>
      <c r="J78" s="43"/>
      <c r="K78" s="44"/>
    </row>
    <row r="79" spans="1:11" ht="23.25" thickTop="1" x14ac:dyDescent="0.3">
      <c r="A79" s="13" t="s">
        <v>17</v>
      </c>
      <c r="B79" s="14"/>
      <c r="C79" s="120"/>
      <c r="D79" s="121"/>
      <c r="E79" s="122"/>
      <c r="F79" s="123" t="s">
        <v>32</v>
      </c>
      <c r="G79" s="124"/>
      <c r="H79" s="15"/>
      <c r="I79" s="15"/>
      <c r="J79" s="53"/>
      <c r="K79" s="16"/>
    </row>
    <row r="80" spans="1:11" ht="13.5" thickBot="1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55"/>
    </row>
    <row r="81" spans="1:11" ht="14.1" customHeight="1" thickTop="1" thickBot="1" x14ac:dyDescent="0.25">
      <c r="A81" s="142" t="s">
        <v>40</v>
      </c>
      <c r="B81" s="143"/>
      <c r="C81" s="143"/>
      <c r="D81" s="143"/>
      <c r="E81" s="148" t="s">
        <v>8</v>
      </c>
      <c r="F81" s="148"/>
      <c r="G81" s="148"/>
      <c r="H81" s="148"/>
      <c r="I81" s="148"/>
      <c r="J81" s="149"/>
      <c r="K81" s="89"/>
    </row>
    <row r="82" spans="1:11" ht="14.1" customHeight="1" thickTop="1" thickBot="1" x14ac:dyDescent="0.25">
      <c r="A82" s="142"/>
      <c r="B82" s="143"/>
      <c r="C82" s="143"/>
      <c r="D82" s="143"/>
      <c r="E82" s="148"/>
      <c r="F82" s="148"/>
      <c r="G82" s="148"/>
      <c r="H82" s="148"/>
      <c r="I82" s="148"/>
      <c r="J82" s="149"/>
      <c r="K82" s="90"/>
    </row>
    <row r="83" spans="1:11" ht="14.1" customHeight="1" thickTop="1" thickBot="1" x14ac:dyDescent="0.25">
      <c r="A83" s="142"/>
      <c r="B83" s="143"/>
      <c r="C83" s="143"/>
      <c r="D83" s="143"/>
      <c r="E83" s="148"/>
      <c r="F83" s="148"/>
      <c r="G83" s="148"/>
      <c r="H83" s="148"/>
      <c r="I83" s="148"/>
      <c r="J83" s="149"/>
      <c r="K83" s="91"/>
    </row>
    <row r="84" spans="1:11" ht="20.100000000000001" customHeight="1" thickTop="1" x14ac:dyDescent="0.2">
      <c r="A84" s="129" t="s">
        <v>3</v>
      </c>
      <c r="B84" s="130" t="s">
        <v>41</v>
      </c>
      <c r="C84" s="119" t="s">
        <v>26</v>
      </c>
      <c r="D84" s="112" t="s">
        <v>47</v>
      </c>
      <c r="E84" s="114" t="s">
        <v>0</v>
      </c>
      <c r="F84" s="114" t="s">
        <v>4</v>
      </c>
      <c r="G84" s="114" t="s">
        <v>5</v>
      </c>
      <c r="H84" s="114" t="s">
        <v>6</v>
      </c>
      <c r="I84" s="116" t="s">
        <v>7</v>
      </c>
      <c r="J84" s="126" t="s">
        <v>18</v>
      </c>
      <c r="K84" s="109" t="s">
        <v>83</v>
      </c>
    </row>
    <row r="85" spans="1:11" ht="20.100000000000001" customHeight="1" x14ac:dyDescent="0.2">
      <c r="A85" s="129"/>
      <c r="B85" s="130"/>
      <c r="C85" s="119"/>
      <c r="D85" s="112"/>
      <c r="E85" s="114"/>
      <c r="F85" s="114"/>
      <c r="G85" s="114"/>
      <c r="H85" s="114"/>
      <c r="I85" s="116"/>
      <c r="J85" s="126"/>
      <c r="K85" s="110"/>
    </row>
    <row r="86" spans="1:11" ht="20.100000000000001" customHeight="1" x14ac:dyDescent="0.2">
      <c r="A86" s="129"/>
      <c r="B86" s="130"/>
      <c r="C86" s="119"/>
      <c r="D86" s="112"/>
      <c r="E86" s="114"/>
      <c r="F86" s="114"/>
      <c r="G86" s="114"/>
      <c r="H86" s="114"/>
      <c r="I86" s="117"/>
      <c r="J86" s="126"/>
      <c r="K86" s="111"/>
    </row>
    <row r="87" spans="1:11" ht="21.95" customHeight="1" x14ac:dyDescent="0.25">
      <c r="A87" s="20" t="s">
        <v>85</v>
      </c>
      <c r="B87" s="21" t="str">
        <f ca="1">IF(H87&lt;&gt;"",IF(B87="",NOW(),B87),"")</f>
        <v/>
      </c>
      <c r="C87" s="22"/>
      <c r="D87" s="23"/>
      <c r="E87" s="24"/>
      <c r="F87" s="25"/>
      <c r="G87" s="26"/>
      <c r="H87" s="27"/>
      <c r="I87" s="28" t="str">
        <f t="shared" ref="I87:I96" si="16">IF(F87+G87+H87=0,("N/A"),SUM(F87,G87,H87)/3)</f>
        <v>N/A</v>
      </c>
      <c r="J87" s="72" t="str">
        <f>IF(I87="N/A","N/A",I87-E87)</f>
        <v>N/A</v>
      </c>
      <c r="K87" s="71"/>
    </row>
    <row r="88" spans="1:11" ht="21.95" customHeight="1" x14ac:dyDescent="0.25">
      <c r="A88" s="20" t="s">
        <v>84</v>
      </c>
      <c r="B88" s="21" t="str">
        <f ca="1">IF(H88&lt;&gt;"",IF(B88="",NOW(),B88),"")</f>
        <v/>
      </c>
      <c r="C88" s="22"/>
      <c r="D88" s="23"/>
      <c r="E88" s="24"/>
      <c r="F88" s="25"/>
      <c r="G88" s="26"/>
      <c r="H88" s="27"/>
      <c r="I88" s="28" t="str">
        <f t="shared" si="16"/>
        <v>N/A</v>
      </c>
      <c r="J88" s="72" t="str">
        <f t="shared" ref="J88:J89" si="17">IF(I88="N/A","N/A",I88-E88)</f>
        <v>N/A</v>
      </c>
      <c r="K88" s="71"/>
    </row>
    <row r="89" spans="1:11" ht="21.95" customHeight="1" x14ac:dyDescent="0.25">
      <c r="A89" s="20" t="s">
        <v>38</v>
      </c>
      <c r="B89" s="21" t="str">
        <f ca="1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si="16"/>
        <v>N/A</v>
      </c>
      <c r="J89" s="72" t="str">
        <f t="shared" si="17"/>
        <v>N/A</v>
      </c>
      <c r="K89" s="71"/>
    </row>
    <row r="90" spans="1:11" ht="21.95" customHeight="1" x14ac:dyDescent="0.25">
      <c r="A90" s="20" t="s">
        <v>1</v>
      </c>
      <c r="B90" s="21" t="str">
        <f t="shared" ref="B90:B109" ca="1" si="18">IF(H90&lt;&gt;"",IF(B90="",NOW(),B90),"")</f>
        <v/>
      </c>
      <c r="C90" s="22"/>
      <c r="D90" s="23"/>
      <c r="E90" s="24"/>
      <c r="F90" s="25"/>
      <c r="G90" s="26"/>
      <c r="H90" s="27"/>
      <c r="I90" s="28" t="str">
        <f t="shared" si="16"/>
        <v>N/A</v>
      </c>
      <c r="J90" s="56" t="str">
        <f t="shared" ref="J90" si="19">IF(I90="N/A","N/A",I90-E90)</f>
        <v>N/A</v>
      </c>
      <c r="K90" s="70"/>
    </row>
    <row r="91" spans="1:11" ht="21.95" customHeight="1" x14ac:dyDescent="0.25">
      <c r="A91" s="20" t="s">
        <v>9</v>
      </c>
      <c r="B91" s="21" t="str">
        <f t="shared" ca="1" si="18"/>
        <v/>
      </c>
      <c r="C91" s="22"/>
      <c r="D91" s="23"/>
      <c r="E91" s="24"/>
      <c r="F91" s="25"/>
      <c r="G91" s="26"/>
      <c r="H91" s="27"/>
      <c r="I91" s="28" t="str">
        <f t="shared" si="16"/>
        <v>N/A</v>
      </c>
      <c r="J91" s="56" t="str">
        <f>IF(I91="N/A","N/A",I91-E91)</f>
        <v>N/A</v>
      </c>
      <c r="K91" s="70"/>
    </row>
    <row r="92" spans="1:11" ht="21.95" customHeight="1" x14ac:dyDescent="0.25">
      <c r="A92" s="20" t="s">
        <v>10</v>
      </c>
      <c r="B92" s="21" t="str">
        <f t="shared" ca="1" si="18"/>
        <v/>
      </c>
      <c r="C92" s="22"/>
      <c r="D92" s="23"/>
      <c r="E92" s="24"/>
      <c r="F92" s="25"/>
      <c r="G92" s="26"/>
      <c r="H92" s="27"/>
      <c r="I92" s="28" t="str">
        <f t="shared" si="16"/>
        <v>N/A</v>
      </c>
      <c r="J92" s="56" t="str">
        <f t="shared" ref="J92:J99" si="20">IF(I92="N/A","N/A",I92-E92)</f>
        <v>N/A</v>
      </c>
      <c r="K92" s="70"/>
    </row>
    <row r="93" spans="1:11" ht="21.95" customHeight="1" x14ac:dyDescent="0.25">
      <c r="A93" s="20" t="s">
        <v>11</v>
      </c>
      <c r="B93" s="21" t="str">
        <f t="shared" ca="1" si="18"/>
        <v/>
      </c>
      <c r="C93" s="22"/>
      <c r="D93" s="23"/>
      <c r="E93" s="24"/>
      <c r="F93" s="25"/>
      <c r="G93" s="26"/>
      <c r="H93" s="27"/>
      <c r="I93" s="28" t="str">
        <f t="shared" si="16"/>
        <v>N/A</v>
      </c>
      <c r="J93" s="56" t="str">
        <f t="shared" si="20"/>
        <v>N/A</v>
      </c>
      <c r="K93" s="70"/>
    </row>
    <row r="94" spans="1:11" ht="21.95" customHeight="1" x14ac:dyDescent="0.25">
      <c r="A94" s="20" t="s">
        <v>12</v>
      </c>
      <c r="B94" s="21" t="str">
        <f t="shared" ca="1" si="18"/>
        <v/>
      </c>
      <c r="C94" s="22"/>
      <c r="D94" s="23"/>
      <c r="E94" s="24"/>
      <c r="F94" s="25"/>
      <c r="G94" s="26"/>
      <c r="H94" s="27"/>
      <c r="I94" s="28" t="str">
        <f t="shared" si="16"/>
        <v>N/A</v>
      </c>
      <c r="J94" s="56" t="str">
        <f t="shared" si="20"/>
        <v>N/A</v>
      </c>
      <c r="K94" s="70"/>
    </row>
    <row r="95" spans="1:11" ht="21.95" customHeight="1" x14ac:dyDescent="0.25">
      <c r="A95" s="20" t="s">
        <v>13</v>
      </c>
      <c r="B95" s="21" t="str">
        <f t="shared" ca="1" si="18"/>
        <v/>
      </c>
      <c r="C95" s="22"/>
      <c r="D95" s="23"/>
      <c r="E95" s="24"/>
      <c r="F95" s="25"/>
      <c r="G95" s="26"/>
      <c r="H95" s="27"/>
      <c r="I95" s="28" t="str">
        <f t="shared" si="16"/>
        <v>N/A</v>
      </c>
      <c r="J95" s="56" t="str">
        <f t="shared" si="20"/>
        <v>N/A</v>
      </c>
      <c r="K95" s="70"/>
    </row>
    <row r="96" spans="1:11" ht="21.95" customHeight="1" x14ac:dyDescent="0.25">
      <c r="A96" s="20" t="s">
        <v>14</v>
      </c>
      <c r="B96" s="21" t="str">
        <f t="shared" ca="1" si="18"/>
        <v/>
      </c>
      <c r="C96" s="22"/>
      <c r="D96" s="23"/>
      <c r="E96" s="24"/>
      <c r="F96" s="25"/>
      <c r="G96" s="26"/>
      <c r="H96" s="27"/>
      <c r="I96" s="28" t="str">
        <f t="shared" si="16"/>
        <v>N/A</v>
      </c>
      <c r="J96" s="56" t="str">
        <f t="shared" si="20"/>
        <v>N/A</v>
      </c>
      <c r="K96" s="70"/>
    </row>
    <row r="97" spans="1:11" ht="21.95" customHeight="1" x14ac:dyDescent="0.25">
      <c r="A97" s="20" t="s">
        <v>15</v>
      </c>
      <c r="B97" s="21" t="str">
        <f t="shared" ca="1" si="18"/>
        <v/>
      </c>
      <c r="C97" s="22"/>
      <c r="D97" s="23"/>
      <c r="E97" s="24"/>
      <c r="F97" s="25"/>
      <c r="G97" s="26"/>
      <c r="H97" s="27"/>
      <c r="I97" s="28" t="str">
        <f>IF(F97+G97+H97=0,("N/A"),SUM(F97,G97,H97)/3)</f>
        <v>N/A</v>
      </c>
      <c r="J97" s="56" t="str">
        <f t="shared" si="20"/>
        <v>N/A</v>
      </c>
      <c r="K97" s="84"/>
    </row>
    <row r="98" spans="1:11" ht="21.95" customHeight="1" x14ac:dyDescent="0.25">
      <c r="A98" s="30" t="s">
        <v>16</v>
      </c>
      <c r="B98" s="21" t="str">
        <f t="shared" ca="1" si="18"/>
        <v/>
      </c>
      <c r="C98" s="22"/>
      <c r="D98" s="23"/>
      <c r="E98" s="24"/>
      <c r="F98" s="25"/>
      <c r="G98" s="26"/>
      <c r="H98" s="27"/>
      <c r="I98" s="28" t="str">
        <f>IF(F98+G98+H98=0,("N/A"),SUM(F98,G98,H98)/3)</f>
        <v>N/A</v>
      </c>
      <c r="J98" s="56" t="str">
        <f t="shared" si="20"/>
        <v>N/A</v>
      </c>
      <c r="K98" s="85"/>
    </row>
    <row r="99" spans="1:11" ht="21.95" customHeight="1" x14ac:dyDescent="0.25">
      <c r="A99" s="31" t="s">
        <v>39</v>
      </c>
      <c r="B99" s="21" t="str">
        <f t="shared" ca="1" si="18"/>
        <v/>
      </c>
      <c r="C99" s="22"/>
      <c r="D99" s="23"/>
      <c r="E99" s="24"/>
      <c r="F99" s="67"/>
      <c r="G99" s="68"/>
      <c r="H99" s="27"/>
      <c r="I99" s="28" t="str">
        <f>IF(F99+G99+H99=0,("N/A"),SUM(F99,G99,H99)/3)</f>
        <v>N/A</v>
      </c>
      <c r="J99" s="56" t="str">
        <f t="shared" si="20"/>
        <v>N/A</v>
      </c>
      <c r="K99" s="70"/>
    </row>
    <row r="100" spans="1:11" ht="21.95" customHeight="1" x14ac:dyDescent="0.25">
      <c r="A100" s="31" t="s">
        <v>19</v>
      </c>
      <c r="B100" s="21" t="str">
        <f t="shared" ca="1" si="18"/>
        <v/>
      </c>
      <c r="C100" s="22"/>
      <c r="D100" s="23"/>
      <c r="E100" s="24"/>
      <c r="F100" s="25"/>
      <c r="G100" s="26"/>
      <c r="H100" s="27"/>
      <c r="I100" s="28" t="str">
        <f t="shared" ref="I100:I109" si="21">IF(F100+G100+H100=0,("N/A"),SUM(F100,G100,H100)/3)</f>
        <v>N/A</v>
      </c>
      <c r="J100" s="56" t="str">
        <f>IF(I100="N/A","N/A",I100-E100)</f>
        <v>N/A</v>
      </c>
      <c r="K100" s="70"/>
    </row>
    <row r="101" spans="1:11" ht="21.95" customHeight="1" x14ac:dyDescent="0.25">
      <c r="A101" s="31" t="s">
        <v>20</v>
      </c>
      <c r="B101" s="21" t="str">
        <f t="shared" ca="1" si="18"/>
        <v/>
      </c>
      <c r="C101" s="22"/>
      <c r="D101" s="23"/>
      <c r="E101" s="69"/>
      <c r="F101" s="25"/>
      <c r="G101" s="26"/>
      <c r="H101" s="27"/>
      <c r="I101" s="28" t="str">
        <f t="shared" si="21"/>
        <v>N/A</v>
      </c>
      <c r="J101" s="56" t="str">
        <f t="shared" ref="J101:J109" si="22">IF(I101="N/A","N/A",I101-E101)</f>
        <v>N/A</v>
      </c>
      <c r="K101" s="70"/>
    </row>
    <row r="102" spans="1:11" ht="21.95" customHeight="1" x14ac:dyDescent="0.25">
      <c r="A102" s="31" t="s">
        <v>21</v>
      </c>
      <c r="B102" s="21" t="str">
        <f t="shared" ca="1" si="18"/>
        <v/>
      </c>
      <c r="C102" s="22"/>
      <c r="D102" s="23"/>
      <c r="E102" s="24"/>
      <c r="F102" s="25"/>
      <c r="G102" s="26"/>
      <c r="H102" s="27"/>
      <c r="I102" s="28" t="str">
        <f t="shared" si="21"/>
        <v>N/A</v>
      </c>
      <c r="J102" s="56" t="str">
        <f t="shared" si="22"/>
        <v>N/A</v>
      </c>
      <c r="K102" s="70"/>
    </row>
    <row r="103" spans="1:11" ht="21.95" customHeight="1" x14ac:dyDescent="0.3">
      <c r="A103" s="31" t="s">
        <v>2</v>
      </c>
      <c r="B103" s="21" t="str">
        <f t="shared" ca="1" si="18"/>
        <v/>
      </c>
      <c r="C103" s="22"/>
      <c r="D103" s="45"/>
      <c r="E103" s="24"/>
      <c r="F103" s="25"/>
      <c r="G103" s="26"/>
      <c r="H103" s="27"/>
      <c r="I103" s="28" t="str">
        <f t="shared" si="21"/>
        <v>N/A</v>
      </c>
      <c r="J103" s="56" t="str">
        <f t="shared" si="22"/>
        <v>N/A</v>
      </c>
      <c r="K103" s="70"/>
    </row>
    <row r="104" spans="1:11" ht="21.95" customHeight="1" x14ac:dyDescent="0.25">
      <c r="A104" s="31" t="s">
        <v>22</v>
      </c>
      <c r="B104" s="21" t="str">
        <f t="shared" ca="1" si="18"/>
        <v/>
      </c>
      <c r="C104" s="22"/>
      <c r="D104" s="23"/>
      <c r="E104" s="24"/>
      <c r="F104" s="25"/>
      <c r="G104" s="26"/>
      <c r="H104" s="27"/>
      <c r="I104" s="28" t="str">
        <f t="shared" si="21"/>
        <v>N/A</v>
      </c>
      <c r="J104" s="56" t="str">
        <f t="shared" si="22"/>
        <v>N/A</v>
      </c>
      <c r="K104" s="70"/>
    </row>
    <row r="105" spans="1:11" ht="21.95" customHeight="1" x14ac:dyDescent="0.3">
      <c r="A105" s="31" t="s">
        <v>23</v>
      </c>
      <c r="B105" s="21" t="str">
        <f t="shared" ca="1" si="18"/>
        <v/>
      </c>
      <c r="C105" s="22"/>
      <c r="D105" s="45"/>
      <c r="E105" s="24"/>
      <c r="F105" s="25"/>
      <c r="G105" s="26"/>
      <c r="H105" s="27"/>
      <c r="I105" s="28" t="str">
        <f t="shared" si="21"/>
        <v>N/A</v>
      </c>
      <c r="J105" s="56" t="str">
        <f t="shared" si="22"/>
        <v>N/A</v>
      </c>
      <c r="K105" s="70"/>
    </row>
    <row r="106" spans="1:11" ht="21.95" customHeight="1" x14ac:dyDescent="0.3">
      <c r="A106" s="31" t="s">
        <v>24</v>
      </c>
      <c r="B106" s="21" t="str">
        <f t="shared" ca="1" si="18"/>
        <v/>
      </c>
      <c r="C106" s="22"/>
      <c r="D106" s="45"/>
      <c r="E106" s="24"/>
      <c r="F106" s="25"/>
      <c r="G106" s="26"/>
      <c r="H106" s="27"/>
      <c r="I106" s="28" t="str">
        <f t="shared" si="21"/>
        <v>N/A</v>
      </c>
      <c r="J106" s="56" t="str">
        <f t="shared" si="22"/>
        <v>N/A</v>
      </c>
      <c r="K106" s="70"/>
    </row>
    <row r="107" spans="1:11" ht="21.95" customHeight="1" x14ac:dyDescent="0.3">
      <c r="A107" s="31" t="s">
        <v>25</v>
      </c>
      <c r="B107" s="21" t="str">
        <f t="shared" ca="1" si="18"/>
        <v/>
      </c>
      <c r="C107" s="22"/>
      <c r="D107" s="45"/>
      <c r="E107" s="24"/>
      <c r="F107" s="25"/>
      <c r="G107" s="26"/>
      <c r="H107" s="27"/>
      <c r="I107" s="28" t="str">
        <f t="shared" si="21"/>
        <v>N/A</v>
      </c>
      <c r="J107" s="56" t="str">
        <f t="shared" si="22"/>
        <v>N/A</v>
      </c>
      <c r="K107" s="70"/>
    </row>
    <row r="108" spans="1:11" ht="21.95" customHeight="1" x14ac:dyDescent="0.3">
      <c r="A108" s="87" t="s">
        <v>77</v>
      </c>
      <c r="B108" s="21" t="str">
        <f t="shared" ca="1" si="18"/>
        <v/>
      </c>
      <c r="C108" s="22"/>
      <c r="D108" s="45"/>
      <c r="E108" s="24"/>
      <c r="F108" s="25"/>
      <c r="G108" s="26"/>
      <c r="H108" s="27"/>
      <c r="I108" s="28" t="str">
        <f t="shared" si="21"/>
        <v>N/A</v>
      </c>
      <c r="J108" s="56" t="str">
        <f t="shared" si="22"/>
        <v>N/A</v>
      </c>
      <c r="K108" s="84"/>
    </row>
    <row r="109" spans="1:11" ht="21.95" customHeight="1" x14ac:dyDescent="0.3">
      <c r="A109" s="87" t="s">
        <v>86</v>
      </c>
      <c r="B109" s="21" t="str">
        <f t="shared" ca="1" si="18"/>
        <v/>
      </c>
      <c r="C109" s="22"/>
      <c r="D109" s="45"/>
      <c r="E109" s="24"/>
      <c r="F109" s="25"/>
      <c r="G109" s="26"/>
      <c r="H109" s="27"/>
      <c r="I109" s="28" t="str">
        <f t="shared" si="21"/>
        <v>N/A</v>
      </c>
      <c r="J109" s="56" t="str">
        <f t="shared" si="22"/>
        <v>N/A</v>
      </c>
      <c r="K109" s="84"/>
    </row>
    <row r="110" spans="1:11" ht="21.95" customHeight="1" thickBot="1" x14ac:dyDescent="0.35">
      <c r="A110" s="33" t="s">
        <v>87</v>
      </c>
      <c r="B110" s="21" t="str">
        <f t="shared" ref="B110" ca="1" si="23">IF(H110&lt;&gt;"",IF(B110="",NOW(),B110),"")</f>
        <v/>
      </c>
      <c r="C110" s="22"/>
      <c r="D110" s="45"/>
      <c r="E110" s="24"/>
      <c r="F110" s="25"/>
      <c r="G110" s="26"/>
      <c r="H110" s="27"/>
      <c r="I110" s="28" t="str">
        <f t="shared" ref="I110" si="24">IF(F110+G110+H110=0,("N/A"),SUM(F110,G110,H110)/3)</f>
        <v>N/A</v>
      </c>
      <c r="J110" s="56" t="str">
        <f t="shared" ref="J110" si="25">IF(I110="N/A","N/A",I110-E110)</f>
        <v>N/A</v>
      </c>
      <c r="K110" s="83"/>
    </row>
    <row r="111" spans="1:11" ht="18" customHeight="1" x14ac:dyDescent="0.25">
      <c r="A111" s="146" t="s">
        <v>27</v>
      </c>
      <c r="B111" s="146"/>
      <c r="C111" s="146"/>
      <c r="D111" s="146"/>
      <c r="E111" s="147"/>
      <c r="F111" s="51" t="str">
        <f>IF(COUNT(J87:J97),AVERAGE(J87:J97),"N/A")</f>
        <v>N/A</v>
      </c>
      <c r="G111" s="65"/>
      <c r="H111" s="58"/>
      <c r="I111" s="58"/>
      <c r="J111" s="64"/>
      <c r="K111" s="55"/>
    </row>
    <row r="112" spans="1:11" ht="18" customHeight="1" x14ac:dyDescent="0.25">
      <c r="A112" s="36"/>
      <c r="B112" s="35"/>
      <c r="D112" s="36"/>
      <c r="E112" s="37"/>
      <c r="F112" s="52"/>
      <c r="G112" s="62"/>
      <c r="H112" s="62"/>
      <c r="I112" s="62"/>
      <c r="K112" s="55"/>
    </row>
    <row r="113" spans="1:11" ht="18" customHeight="1" x14ac:dyDescent="0.25">
      <c r="A113" s="107" t="s">
        <v>28</v>
      </c>
      <c r="B113" s="107"/>
      <c r="C113" s="107"/>
      <c r="D113" s="107"/>
      <c r="E113" s="108"/>
      <c r="F113" s="51" t="str">
        <f>IF(COUNT(J98:J110),AVERAGE(J98:J110),"N/A")</f>
        <v>N/A</v>
      </c>
      <c r="G113" s="66"/>
      <c r="H113" s="58"/>
      <c r="I113" s="58"/>
      <c r="K113" s="55"/>
    </row>
    <row r="114" spans="1:11" ht="18" customHeight="1" x14ac:dyDescent="0.25">
      <c r="A114" s="37"/>
      <c r="B114" s="40"/>
      <c r="D114" s="37"/>
      <c r="E114" s="37"/>
      <c r="F114" s="52"/>
      <c r="G114" s="62"/>
      <c r="H114" s="62"/>
      <c r="I114" s="62"/>
      <c r="K114" s="55"/>
    </row>
    <row r="115" spans="1:11" ht="18" customHeight="1" x14ac:dyDescent="0.25">
      <c r="A115" s="107" t="s">
        <v>29</v>
      </c>
      <c r="B115" s="107"/>
      <c r="C115" s="107"/>
      <c r="D115" s="107"/>
      <c r="E115" s="108"/>
      <c r="F115" s="59" t="str">
        <f>IF(COUNT(J87:J110),AVERAGE(J87:J110),"N/A")</f>
        <v>N/A</v>
      </c>
      <c r="G115" s="58"/>
      <c r="H115" s="58"/>
      <c r="I115" s="58"/>
      <c r="K115" s="55"/>
    </row>
    <row r="116" spans="1:11" ht="18" customHeight="1" x14ac:dyDescent="0.25">
      <c r="A116" s="39"/>
      <c r="B116" s="40"/>
      <c r="C116" s="62"/>
      <c r="D116" s="62"/>
      <c r="E116" s="62"/>
      <c r="F116" s="62"/>
      <c r="G116" s="62"/>
      <c r="H116" s="62"/>
      <c r="I116" s="62"/>
      <c r="J116" s="62"/>
      <c r="K116" s="55"/>
    </row>
    <row r="117" spans="1:11" ht="18" customHeight="1" thickBot="1" x14ac:dyDescent="0.25">
      <c r="A117" s="41"/>
      <c r="B117" s="42"/>
      <c r="C117" s="42"/>
      <c r="D117" s="42"/>
      <c r="E117" s="43"/>
      <c r="F117" s="43"/>
      <c r="G117" s="43"/>
      <c r="H117" s="43"/>
      <c r="I117" s="43"/>
      <c r="J117" s="43"/>
      <c r="K117" s="44"/>
    </row>
    <row r="118" spans="1:11" ht="23.25" thickTop="1" x14ac:dyDescent="0.3">
      <c r="A118" s="13" t="s">
        <v>17</v>
      </c>
      <c r="B118" s="14"/>
      <c r="C118" s="120"/>
      <c r="D118" s="121"/>
      <c r="E118" s="122"/>
      <c r="F118" s="123" t="s">
        <v>33</v>
      </c>
      <c r="G118" s="124"/>
      <c r="H118" s="15"/>
      <c r="I118" s="15"/>
      <c r="J118" s="53"/>
      <c r="K118" s="16"/>
    </row>
    <row r="119" spans="1:11" ht="13.5" thickBot="1" x14ac:dyDescent="0.25">
      <c r="A119" s="18"/>
      <c r="B119" s="19"/>
      <c r="C119" s="19"/>
      <c r="D119" s="19"/>
      <c r="E119" s="19"/>
      <c r="F119" s="19"/>
      <c r="G119" s="19"/>
      <c r="H119" s="19"/>
      <c r="I119" s="19"/>
      <c r="J119" s="19"/>
      <c r="K119" s="55"/>
    </row>
    <row r="120" spans="1:11" ht="14.1" customHeight="1" thickTop="1" thickBot="1" x14ac:dyDescent="0.25">
      <c r="A120" s="142" t="s">
        <v>40</v>
      </c>
      <c r="B120" s="143"/>
      <c r="C120" s="143"/>
      <c r="D120" s="143"/>
      <c r="E120" s="148" t="s">
        <v>8</v>
      </c>
      <c r="F120" s="148"/>
      <c r="G120" s="148"/>
      <c r="H120" s="148"/>
      <c r="I120" s="148"/>
      <c r="J120" s="149"/>
      <c r="K120" s="89"/>
    </row>
    <row r="121" spans="1:11" ht="14.1" customHeight="1" thickTop="1" thickBot="1" x14ac:dyDescent="0.25">
      <c r="A121" s="142"/>
      <c r="B121" s="143"/>
      <c r="C121" s="143"/>
      <c r="D121" s="143"/>
      <c r="E121" s="148"/>
      <c r="F121" s="148"/>
      <c r="G121" s="148"/>
      <c r="H121" s="148"/>
      <c r="I121" s="148"/>
      <c r="J121" s="149"/>
      <c r="K121" s="90"/>
    </row>
    <row r="122" spans="1:11" ht="14.1" customHeight="1" thickTop="1" thickBot="1" x14ac:dyDescent="0.25">
      <c r="A122" s="142"/>
      <c r="B122" s="143"/>
      <c r="C122" s="143"/>
      <c r="D122" s="143"/>
      <c r="E122" s="148"/>
      <c r="F122" s="148"/>
      <c r="G122" s="148"/>
      <c r="H122" s="148"/>
      <c r="I122" s="148"/>
      <c r="J122" s="149"/>
      <c r="K122" s="91"/>
    </row>
    <row r="123" spans="1:11" ht="20.100000000000001" customHeight="1" thickTop="1" x14ac:dyDescent="0.2">
      <c r="A123" s="129" t="s">
        <v>3</v>
      </c>
      <c r="B123" s="130" t="s">
        <v>41</v>
      </c>
      <c r="C123" s="119" t="s">
        <v>26</v>
      </c>
      <c r="D123" s="112" t="s">
        <v>47</v>
      </c>
      <c r="E123" s="114" t="s">
        <v>0</v>
      </c>
      <c r="F123" s="114" t="s">
        <v>4</v>
      </c>
      <c r="G123" s="114" t="s">
        <v>5</v>
      </c>
      <c r="H123" s="114" t="s">
        <v>6</v>
      </c>
      <c r="I123" s="116" t="s">
        <v>7</v>
      </c>
      <c r="J123" s="126" t="s">
        <v>18</v>
      </c>
      <c r="K123" s="109" t="s">
        <v>83</v>
      </c>
    </row>
    <row r="124" spans="1:11" ht="20.100000000000001" customHeight="1" x14ac:dyDescent="0.2">
      <c r="A124" s="129"/>
      <c r="B124" s="130"/>
      <c r="C124" s="119"/>
      <c r="D124" s="112"/>
      <c r="E124" s="114"/>
      <c r="F124" s="114"/>
      <c r="G124" s="114"/>
      <c r="H124" s="114"/>
      <c r="I124" s="116"/>
      <c r="J124" s="126"/>
      <c r="K124" s="110"/>
    </row>
    <row r="125" spans="1:11" ht="20.100000000000001" customHeight="1" x14ac:dyDescent="0.2">
      <c r="A125" s="129"/>
      <c r="B125" s="130"/>
      <c r="C125" s="119"/>
      <c r="D125" s="112"/>
      <c r="E125" s="114"/>
      <c r="F125" s="114"/>
      <c r="G125" s="114"/>
      <c r="H125" s="114"/>
      <c r="I125" s="117"/>
      <c r="J125" s="126"/>
      <c r="K125" s="111"/>
    </row>
    <row r="126" spans="1:11" ht="21.95" customHeight="1" x14ac:dyDescent="0.25">
      <c r="A126" s="20" t="s">
        <v>85</v>
      </c>
      <c r="B126" s="21" t="str">
        <f ca="1">IF(H126&lt;&gt;"",IF(B126="",NOW(),B126),"")</f>
        <v/>
      </c>
      <c r="C126" s="22"/>
      <c r="D126" s="23"/>
      <c r="E126" s="24"/>
      <c r="F126" s="25"/>
      <c r="G126" s="26"/>
      <c r="H126" s="27"/>
      <c r="I126" s="28" t="str">
        <f t="shared" ref="I126:I135" si="26">IF(F126+G126+H126=0,("N/A"),SUM(F126,G126,H126)/3)</f>
        <v>N/A</v>
      </c>
      <c r="J126" s="72" t="str">
        <f>IF(I126="N/A","N/A",I126-E126)</f>
        <v>N/A</v>
      </c>
      <c r="K126" s="71"/>
    </row>
    <row r="127" spans="1:11" ht="21.95" customHeight="1" x14ac:dyDescent="0.25">
      <c r="A127" s="20" t="s">
        <v>84</v>
      </c>
      <c r="B127" s="21" t="str">
        <f t="shared" ref="B127:B128" ca="1" si="27">IF(H127&lt;&gt;"",IF(B127="",NOW(),B127),"")</f>
        <v/>
      </c>
      <c r="C127" s="22"/>
      <c r="D127" s="23"/>
      <c r="E127" s="24"/>
      <c r="F127" s="25"/>
      <c r="G127" s="26"/>
      <c r="H127" s="27"/>
      <c r="I127" s="28" t="str">
        <f t="shared" si="26"/>
        <v>N/A</v>
      </c>
      <c r="J127" s="72" t="str">
        <f t="shared" ref="J127:J128" si="28">IF(I127="N/A","N/A",I127-E127)</f>
        <v>N/A</v>
      </c>
      <c r="K127" s="71"/>
    </row>
    <row r="128" spans="1:11" ht="21.95" customHeight="1" x14ac:dyDescent="0.25">
      <c r="A128" s="20" t="s">
        <v>38</v>
      </c>
      <c r="B128" s="21" t="str">
        <f t="shared" ca="1" si="27"/>
        <v/>
      </c>
      <c r="C128" s="22"/>
      <c r="D128" s="23"/>
      <c r="E128" s="24"/>
      <c r="F128" s="25"/>
      <c r="G128" s="26"/>
      <c r="H128" s="27"/>
      <c r="I128" s="28" t="str">
        <f t="shared" si="26"/>
        <v>N/A</v>
      </c>
      <c r="J128" s="72" t="str">
        <f t="shared" si="28"/>
        <v>N/A</v>
      </c>
      <c r="K128" s="71"/>
    </row>
    <row r="129" spans="1:11" ht="21.95" customHeight="1" x14ac:dyDescent="0.25">
      <c r="A129" s="20" t="s">
        <v>1</v>
      </c>
      <c r="B129" s="21" t="str">
        <f t="shared" ref="B129:B149" ca="1" si="29">IF(H129&lt;&gt;"",IF(B129="",NOW(),B129),"")</f>
        <v/>
      </c>
      <c r="C129" s="22"/>
      <c r="D129" s="23"/>
      <c r="E129" s="24"/>
      <c r="F129" s="25"/>
      <c r="G129" s="26"/>
      <c r="H129" s="27"/>
      <c r="I129" s="28" t="str">
        <f t="shared" si="26"/>
        <v>N/A</v>
      </c>
      <c r="J129" s="56" t="str">
        <f t="shared" ref="J129" si="30">IF(I129="N/A","N/A",I129-E129)</f>
        <v>N/A</v>
      </c>
      <c r="K129" s="70"/>
    </row>
    <row r="130" spans="1:11" ht="21.95" customHeight="1" x14ac:dyDescent="0.25">
      <c r="A130" s="20" t="s">
        <v>9</v>
      </c>
      <c r="B130" s="21" t="str">
        <f t="shared" ca="1" si="29"/>
        <v/>
      </c>
      <c r="C130" s="22"/>
      <c r="D130" s="23"/>
      <c r="E130" s="24"/>
      <c r="F130" s="25"/>
      <c r="G130" s="26"/>
      <c r="H130" s="27"/>
      <c r="I130" s="28" t="str">
        <f t="shared" si="26"/>
        <v>N/A</v>
      </c>
      <c r="J130" s="56" t="str">
        <f>IF(I130="N/A","N/A",I130-E130)</f>
        <v>N/A</v>
      </c>
      <c r="K130" s="70"/>
    </row>
    <row r="131" spans="1:11" ht="21.95" customHeight="1" x14ac:dyDescent="0.25">
      <c r="A131" s="20" t="s">
        <v>10</v>
      </c>
      <c r="B131" s="21" t="str">
        <f t="shared" ca="1" si="29"/>
        <v/>
      </c>
      <c r="C131" s="22"/>
      <c r="D131" s="23"/>
      <c r="E131" s="24"/>
      <c r="F131" s="25"/>
      <c r="G131" s="26"/>
      <c r="H131" s="27"/>
      <c r="I131" s="28" t="str">
        <f t="shared" si="26"/>
        <v>N/A</v>
      </c>
      <c r="J131" s="56" t="str">
        <f t="shared" ref="J131:J138" si="31">IF(I131="N/A","N/A",I131-E131)</f>
        <v>N/A</v>
      </c>
      <c r="K131" s="70"/>
    </row>
    <row r="132" spans="1:11" ht="21.95" customHeight="1" x14ac:dyDescent="0.25">
      <c r="A132" s="20" t="s">
        <v>11</v>
      </c>
      <c r="B132" s="21" t="str">
        <f t="shared" ca="1" si="29"/>
        <v/>
      </c>
      <c r="C132" s="22"/>
      <c r="D132" s="23"/>
      <c r="E132" s="24"/>
      <c r="F132" s="25"/>
      <c r="G132" s="26"/>
      <c r="H132" s="27"/>
      <c r="I132" s="28" t="str">
        <f t="shared" si="26"/>
        <v>N/A</v>
      </c>
      <c r="J132" s="56" t="str">
        <f t="shared" si="31"/>
        <v>N/A</v>
      </c>
      <c r="K132" s="70"/>
    </row>
    <row r="133" spans="1:11" ht="21.95" customHeight="1" x14ac:dyDescent="0.25">
      <c r="A133" s="20" t="s">
        <v>12</v>
      </c>
      <c r="B133" s="21" t="str">
        <f t="shared" ca="1" si="29"/>
        <v/>
      </c>
      <c r="C133" s="22"/>
      <c r="D133" s="23"/>
      <c r="E133" s="24"/>
      <c r="F133" s="25"/>
      <c r="G133" s="26"/>
      <c r="H133" s="27"/>
      <c r="I133" s="28" t="str">
        <f t="shared" si="26"/>
        <v>N/A</v>
      </c>
      <c r="J133" s="56" t="str">
        <f t="shared" si="31"/>
        <v>N/A</v>
      </c>
      <c r="K133" s="70"/>
    </row>
    <row r="134" spans="1:11" ht="21.95" customHeight="1" x14ac:dyDescent="0.25">
      <c r="A134" s="20" t="s">
        <v>13</v>
      </c>
      <c r="B134" s="21" t="str">
        <f t="shared" ca="1" si="29"/>
        <v/>
      </c>
      <c r="C134" s="22"/>
      <c r="D134" s="23"/>
      <c r="E134" s="24"/>
      <c r="F134" s="25"/>
      <c r="G134" s="26"/>
      <c r="H134" s="27"/>
      <c r="I134" s="28" t="str">
        <f t="shared" si="26"/>
        <v>N/A</v>
      </c>
      <c r="J134" s="56" t="str">
        <f t="shared" si="31"/>
        <v>N/A</v>
      </c>
      <c r="K134" s="70"/>
    </row>
    <row r="135" spans="1:11" ht="21.95" customHeight="1" x14ac:dyDescent="0.25">
      <c r="A135" s="20" t="s">
        <v>14</v>
      </c>
      <c r="B135" s="21" t="str">
        <f t="shared" ca="1" si="29"/>
        <v/>
      </c>
      <c r="C135" s="22"/>
      <c r="D135" s="23"/>
      <c r="E135" s="24"/>
      <c r="F135" s="25"/>
      <c r="G135" s="26"/>
      <c r="H135" s="27"/>
      <c r="I135" s="28" t="str">
        <f t="shared" si="26"/>
        <v>N/A</v>
      </c>
      <c r="J135" s="56" t="str">
        <f t="shared" si="31"/>
        <v>N/A</v>
      </c>
      <c r="K135" s="70"/>
    </row>
    <row r="136" spans="1:11" ht="21.95" customHeight="1" x14ac:dyDescent="0.25">
      <c r="A136" s="20" t="s">
        <v>15</v>
      </c>
      <c r="B136" s="21" t="str">
        <f t="shared" ca="1" si="29"/>
        <v/>
      </c>
      <c r="C136" s="22"/>
      <c r="D136" s="23"/>
      <c r="E136" s="24"/>
      <c r="F136" s="25"/>
      <c r="G136" s="26"/>
      <c r="H136" s="27"/>
      <c r="I136" s="28" t="str">
        <f>IF(F136+G136+H136=0,("N/A"),SUM(F136,G136,H136)/3)</f>
        <v>N/A</v>
      </c>
      <c r="J136" s="56" t="str">
        <f t="shared" si="31"/>
        <v>N/A</v>
      </c>
      <c r="K136" s="84"/>
    </row>
    <row r="137" spans="1:11" ht="21.95" customHeight="1" x14ac:dyDescent="0.25">
      <c r="A137" s="30" t="s">
        <v>16</v>
      </c>
      <c r="B137" s="21" t="str">
        <f t="shared" ca="1" si="29"/>
        <v/>
      </c>
      <c r="C137" s="22"/>
      <c r="D137" s="23"/>
      <c r="E137" s="24"/>
      <c r="F137" s="25"/>
      <c r="G137" s="26"/>
      <c r="H137" s="27"/>
      <c r="I137" s="28" t="str">
        <f>IF(F137+G137+H137=0,("N/A"),SUM(F137,G137,H137)/3)</f>
        <v>N/A</v>
      </c>
      <c r="J137" s="56" t="str">
        <f t="shared" si="31"/>
        <v>N/A</v>
      </c>
      <c r="K137" s="85"/>
    </row>
    <row r="138" spans="1:11" ht="21.95" customHeight="1" x14ac:dyDescent="0.25">
      <c r="A138" s="31" t="s">
        <v>39</v>
      </c>
      <c r="B138" s="21" t="str">
        <f t="shared" ca="1" si="29"/>
        <v/>
      </c>
      <c r="C138" s="22"/>
      <c r="D138" s="23"/>
      <c r="E138" s="24"/>
      <c r="F138" s="67"/>
      <c r="G138" s="68"/>
      <c r="H138" s="27"/>
      <c r="I138" s="28" t="str">
        <f>IF(F138+G138+H138=0,("N/A"),SUM(F138,G138,H138)/3)</f>
        <v>N/A</v>
      </c>
      <c r="J138" s="56" t="str">
        <f t="shared" si="31"/>
        <v>N/A</v>
      </c>
      <c r="K138" s="70"/>
    </row>
    <row r="139" spans="1:11" ht="21.95" customHeight="1" x14ac:dyDescent="0.25">
      <c r="A139" s="31" t="s">
        <v>19</v>
      </c>
      <c r="B139" s="21" t="str">
        <f t="shared" ca="1" si="29"/>
        <v/>
      </c>
      <c r="C139" s="22"/>
      <c r="D139" s="23"/>
      <c r="E139" s="24"/>
      <c r="F139" s="25"/>
      <c r="G139" s="26"/>
      <c r="H139" s="27"/>
      <c r="I139" s="28" t="str">
        <f t="shared" ref="I139:I149" si="32">IF(F139+G139+H139=0,("N/A"),SUM(F139,G139,H139)/3)</f>
        <v>N/A</v>
      </c>
      <c r="J139" s="56" t="str">
        <f>IF(I139="N/A","N/A",I139-E139)</f>
        <v>N/A</v>
      </c>
      <c r="K139" s="70"/>
    </row>
    <row r="140" spans="1:11" ht="21.95" customHeight="1" x14ac:dyDescent="0.25">
      <c r="A140" s="31" t="s">
        <v>20</v>
      </c>
      <c r="B140" s="21" t="str">
        <f t="shared" ca="1" si="29"/>
        <v/>
      </c>
      <c r="C140" s="22"/>
      <c r="D140" s="23"/>
      <c r="E140" s="69"/>
      <c r="F140" s="25"/>
      <c r="G140" s="26"/>
      <c r="H140" s="27"/>
      <c r="I140" s="28" t="str">
        <f t="shared" si="32"/>
        <v>N/A</v>
      </c>
      <c r="J140" s="56" t="str">
        <f t="shared" ref="J140:J149" si="33">IF(I140="N/A","N/A",I140-E140)</f>
        <v>N/A</v>
      </c>
      <c r="K140" s="70"/>
    </row>
    <row r="141" spans="1:11" ht="21.95" customHeight="1" x14ac:dyDescent="0.25">
      <c r="A141" s="31" t="s">
        <v>21</v>
      </c>
      <c r="B141" s="21" t="str">
        <f t="shared" ca="1" si="29"/>
        <v/>
      </c>
      <c r="C141" s="22"/>
      <c r="D141" s="23"/>
      <c r="E141" s="24"/>
      <c r="F141" s="25"/>
      <c r="G141" s="26"/>
      <c r="H141" s="27"/>
      <c r="I141" s="28" t="str">
        <f t="shared" si="32"/>
        <v>N/A</v>
      </c>
      <c r="J141" s="56" t="str">
        <f t="shared" si="33"/>
        <v>N/A</v>
      </c>
      <c r="K141" s="70"/>
    </row>
    <row r="142" spans="1:11" ht="21.95" customHeight="1" x14ac:dyDescent="0.3">
      <c r="A142" s="31" t="s">
        <v>2</v>
      </c>
      <c r="B142" s="21" t="str">
        <f t="shared" ca="1" si="29"/>
        <v/>
      </c>
      <c r="C142" s="22"/>
      <c r="D142" s="45"/>
      <c r="E142" s="24"/>
      <c r="F142" s="25"/>
      <c r="G142" s="26"/>
      <c r="H142" s="27"/>
      <c r="I142" s="28" t="str">
        <f t="shared" si="32"/>
        <v>N/A</v>
      </c>
      <c r="J142" s="56" t="str">
        <f t="shared" si="33"/>
        <v>N/A</v>
      </c>
      <c r="K142" s="70"/>
    </row>
    <row r="143" spans="1:11" ht="21.95" customHeight="1" x14ac:dyDescent="0.25">
      <c r="A143" s="31" t="s">
        <v>22</v>
      </c>
      <c r="B143" s="21" t="str">
        <f t="shared" ca="1" si="29"/>
        <v/>
      </c>
      <c r="C143" s="22"/>
      <c r="D143" s="23"/>
      <c r="E143" s="24"/>
      <c r="F143" s="25"/>
      <c r="G143" s="26"/>
      <c r="H143" s="27"/>
      <c r="I143" s="28" t="str">
        <f t="shared" si="32"/>
        <v>N/A</v>
      </c>
      <c r="J143" s="56" t="str">
        <f t="shared" si="33"/>
        <v>N/A</v>
      </c>
      <c r="K143" s="70"/>
    </row>
    <row r="144" spans="1:11" ht="21.95" customHeight="1" x14ac:dyDescent="0.3">
      <c r="A144" s="31" t="s">
        <v>23</v>
      </c>
      <c r="B144" s="21" t="str">
        <f t="shared" ca="1" si="29"/>
        <v/>
      </c>
      <c r="C144" s="22"/>
      <c r="D144" s="45"/>
      <c r="E144" s="24"/>
      <c r="F144" s="25"/>
      <c r="G144" s="26"/>
      <c r="H144" s="27"/>
      <c r="I144" s="28" t="str">
        <f t="shared" si="32"/>
        <v>N/A</v>
      </c>
      <c r="J144" s="56" t="str">
        <f t="shared" si="33"/>
        <v>N/A</v>
      </c>
      <c r="K144" s="70"/>
    </row>
    <row r="145" spans="1:11" ht="21.95" customHeight="1" x14ac:dyDescent="0.3">
      <c r="A145" s="31" t="s">
        <v>24</v>
      </c>
      <c r="B145" s="21" t="str">
        <f t="shared" ca="1" si="29"/>
        <v/>
      </c>
      <c r="C145" s="22"/>
      <c r="D145" s="45"/>
      <c r="E145" s="24"/>
      <c r="F145" s="25"/>
      <c r="G145" s="26"/>
      <c r="H145" s="27"/>
      <c r="I145" s="28" t="str">
        <f t="shared" si="32"/>
        <v>N/A</v>
      </c>
      <c r="J145" s="56" t="str">
        <f t="shared" si="33"/>
        <v>N/A</v>
      </c>
      <c r="K145" s="70"/>
    </row>
    <row r="146" spans="1:11" ht="21.95" customHeight="1" x14ac:dyDescent="0.3">
      <c r="A146" s="31" t="s">
        <v>25</v>
      </c>
      <c r="B146" s="21" t="str">
        <f t="shared" ca="1" si="29"/>
        <v/>
      </c>
      <c r="C146" s="22"/>
      <c r="D146" s="45"/>
      <c r="E146" s="24"/>
      <c r="F146" s="25"/>
      <c r="G146" s="26"/>
      <c r="H146" s="27"/>
      <c r="I146" s="28" t="str">
        <f t="shared" si="32"/>
        <v>N/A</v>
      </c>
      <c r="J146" s="56" t="str">
        <f t="shared" si="33"/>
        <v>N/A</v>
      </c>
      <c r="K146" s="70"/>
    </row>
    <row r="147" spans="1:11" ht="21.95" customHeight="1" x14ac:dyDescent="0.3">
      <c r="A147" s="87" t="s">
        <v>77</v>
      </c>
      <c r="B147" s="21" t="str">
        <f t="shared" ca="1" si="29"/>
        <v/>
      </c>
      <c r="C147" s="22"/>
      <c r="D147" s="45"/>
      <c r="E147" s="24"/>
      <c r="F147" s="25"/>
      <c r="G147" s="26"/>
      <c r="H147" s="27"/>
      <c r="I147" s="28" t="str">
        <f t="shared" si="32"/>
        <v>N/A</v>
      </c>
      <c r="J147" s="56" t="str">
        <f t="shared" si="33"/>
        <v>N/A</v>
      </c>
      <c r="K147" s="84"/>
    </row>
    <row r="148" spans="1:11" ht="21.95" customHeight="1" x14ac:dyDescent="0.3">
      <c r="A148" s="87" t="s">
        <v>86</v>
      </c>
      <c r="B148" s="21" t="str">
        <f t="shared" ca="1" si="29"/>
        <v/>
      </c>
      <c r="C148" s="22"/>
      <c r="D148" s="45"/>
      <c r="E148" s="24"/>
      <c r="F148" s="25"/>
      <c r="G148" s="26"/>
      <c r="H148" s="27"/>
      <c r="I148" s="28" t="str">
        <f t="shared" si="32"/>
        <v>N/A</v>
      </c>
      <c r="J148" s="56" t="str">
        <f t="shared" si="33"/>
        <v>N/A</v>
      </c>
      <c r="K148" s="84"/>
    </row>
    <row r="149" spans="1:11" ht="21.95" customHeight="1" thickBot="1" x14ac:dyDescent="0.35">
      <c r="A149" s="33" t="s">
        <v>87</v>
      </c>
      <c r="B149" s="21" t="str">
        <f t="shared" ca="1" si="29"/>
        <v/>
      </c>
      <c r="C149" s="22"/>
      <c r="D149" s="45"/>
      <c r="E149" s="24"/>
      <c r="F149" s="25"/>
      <c r="G149" s="26"/>
      <c r="H149" s="27"/>
      <c r="I149" s="28" t="str">
        <f t="shared" si="32"/>
        <v>N/A</v>
      </c>
      <c r="J149" s="56" t="str">
        <f t="shared" si="33"/>
        <v>N/A</v>
      </c>
      <c r="K149" s="83"/>
    </row>
    <row r="150" spans="1:11" ht="18" customHeight="1" x14ac:dyDescent="0.25">
      <c r="A150" s="146" t="s">
        <v>27</v>
      </c>
      <c r="B150" s="146"/>
      <c r="C150" s="146"/>
      <c r="D150" s="146"/>
      <c r="E150" s="147"/>
      <c r="F150" s="51" t="str">
        <f>IF(COUNT(J126:J136),AVERAGE(J126:J136),"N/A")</f>
        <v>N/A</v>
      </c>
      <c r="G150" s="65"/>
      <c r="H150" s="58"/>
      <c r="I150" s="58"/>
      <c r="J150" s="64"/>
      <c r="K150" s="55"/>
    </row>
    <row r="151" spans="1:11" ht="18" customHeight="1" x14ac:dyDescent="0.25">
      <c r="A151" s="36"/>
      <c r="B151" s="35"/>
      <c r="D151" s="36"/>
      <c r="E151" s="37"/>
      <c r="F151" s="52"/>
      <c r="G151" s="62"/>
      <c r="H151" s="62"/>
      <c r="I151" s="62"/>
      <c r="K151" s="55"/>
    </row>
    <row r="152" spans="1:11" ht="18" customHeight="1" x14ac:dyDescent="0.25">
      <c r="A152" s="107" t="s">
        <v>28</v>
      </c>
      <c r="B152" s="107"/>
      <c r="C152" s="107"/>
      <c r="D152" s="107"/>
      <c r="E152" s="108"/>
      <c r="F152" s="51" t="str">
        <f>IF(COUNT(J137:J149),AVERAGE(J137:J149),"N/A")</f>
        <v>N/A</v>
      </c>
      <c r="G152" s="66"/>
      <c r="H152" s="58"/>
      <c r="I152" s="58"/>
      <c r="K152" s="55"/>
    </row>
    <row r="153" spans="1:11" ht="18" customHeight="1" x14ac:dyDescent="0.25">
      <c r="A153" s="37"/>
      <c r="B153" s="40"/>
      <c r="D153" s="37"/>
      <c r="E153" s="37"/>
      <c r="F153" s="52"/>
      <c r="G153" s="62"/>
      <c r="H153" s="62"/>
      <c r="I153" s="62"/>
      <c r="K153" s="55"/>
    </row>
    <row r="154" spans="1:11" ht="18" customHeight="1" x14ac:dyDescent="0.25">
      <c r="A154" s="107" t="s">
        <v>29</v>
      </c>
      <c r="B154" s="107"/>
      <c r="C154" s="107"/>
      <c r="D154" s="107"/>
      <c r="E154" s="108"/>
      <c r="F154" s="59" t="str">
        <f>IF(COUNT(J126:J149),AVERAGE(J126:J149),"N/A")</f>
        <v>N/A</v>
      </c>
      <c r="G154" s="58"/>
      <c r="H154" s="58"/>
      <c r="I154" s="58"/>
      <c r="K154" s="55"/>
    </row>
    <row r="155" spans="1:11" ht="18" customHeight="1" x14ac:dyDescent="0.25">
      <c r="A155" s="39"/>
      <c r="B155" s="40"/>
      <c r="C155" s="62"/>
      <c r="D155" s="62"/>
      <c r="E155" s="62"/>
      <c r="F155" s="62"/>
      <c r="G155" s="62"/>
      <c r="H155" s="62"/>
      <c r="I155" s="62"/>
      <c r="J155" s="62"/>
      <c r="K155" s="55"/>
    </row>
    <row r="156" spans="1:11" ht="18" customHeight="1" thickBot="1" x14ac:dyDescent="0.25">
      <c r="A156" s="41"/>
      <c r="B156" s="42"/>
      <c r="C156" s="42"/>
      <c r="D156" s="42"/>
      <c r="E156" s="43"/>
      <c r="F156" s="43"/>
      <c r="G156" s="43"/>
      <c r="H156" s="43"/>
      <c r="I156" s="43"/>
      <c r="J156" s="43"/>
      <c r="K156" s="44"/>
    </row>
    <row r="157" spans="1:11" ht="23.25" thickTop="1" x14ac:dyDescent="0.3">
      <c r="A157" s="13" t="s">
        <v>17</v>
      </c>
      <c r="B157" s="14"/>
      <c r="C157" s="120"/>
      <c r="D157" s="121"/>
      <c r="E157" s="122"/>
      <c r="F157" s="123" t="s">
        <v>35</v>
      </c>
      <c r="G157" s="124"/>
      <c r="H157" s="15"/>
      <c r="I157" s="15"/>
      <c r="J157" s="53"/>
      <c r="K157" s="16"/>
    </row>
    <row r="158" spans="1:11" ht="13.5" thickBot="1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55"/>
    </row>
    <row r="159" spans="1:11" ht="14.1" customHeight="1" thickTop="1" thickBot="1" x14ac:dyDescent="0.25">
      <c r="A159" s="142" t="s">
        <v>40</v>
      </c>
      <c r="B159" s="143"/>
      <c r="C159" s="143"/>
      <c r="D159" s="143"/>
      <c r="E159" s="148" t="s">
        <v>8</v>
      </c>
      <c r="F159" s="148"/>
      <c r="G159" s="148"/>
      <c r="H159" s="148"/>
      <c r="I159" s="148"/>
      <c r="J159" s="149"/>
      <c r="K159" s="89"/>
    </row>
    <row r="160" spans="1:11" ht="14.1" customHeight="1" thickTop="1" thickBot="1" x14ac:dyDescent="0.25">
      <c r="A160" s="142"/>
      <c r="B160" s="143"/>
      <c r="C160" s="143"/>
      <c r="D160" s="143"/>
      <c r="E160" s="148"/>
      <c r="F160" s="148"/>
      <c r="G160" s="148"/>
      <c r="H160" s="148"/>
      <c r="I160" s="148"/>
      <c r="J160" s="149"/>
      <c r="K160" s="90"/>
    </row>
    <row r="161" spans="1:11" ht="14.1" customHeight="1" thickTop="1" thickBot="1" x14ac:dyDescent="0.25">
      <c r="A161" s="142"/>
      <c r="B161" s="143"/>
      <c r="C161" s="143"/>
      <c r="D161" s="143"/>
      <c r="E161" s="148"/>
      <c r="F161" s="148"/>
      <c r="G161" s="148"/>
      <c r="H161" s="148"/>
      <c r="I161" s="148"/>
      <c r="J161" s="149"/>
      <c r="K161" s="91"/>
    </row>
    <row r="162" spans="1:11" ht="20.100000000000001" customHeight="1" thickTop="1" x14ac:dyDescent="0.2">
      <c r="A162" s="129" t="s">
        <v>3</v>
      </c>
      <c r="B162" s="130" t="s">
        <v>41</v>
      </c>
      <c r="C162" s="119" t="s">
        <v>26</v>
      </c>
      <c r="D162" s="112" t="s">
        <v>47</v>
      </c>
      <c r="E162" s="114" t="s">
        <v>0</v>
      </c>
      <c r="F162" s="114" t="s">
        <v>4</v>
      </c>
      <c r="G162" s="114" t="s">
        <v>5</v>
      </c>
      <c r="H162" s="114" t="s">
        <v>6</v>
      </c>
      <c r="I162" s="116" t="s">
        <v>7</v>
      </c>
      <c r="J162" s="126" t="s">
        <v>18</v>
      </c>
      <c r="K162" s="109" t="s">
        <v>83</v>
      </c>
    </row>
    <row r="163" spans="1:11" ht="20.100000000000001" customHeight="1" x14ac:dyDescent="0.2">
      <c r="A163" s="129"/>
      <c r="B163" s="130"/>
      <c r="C163" s="119"/>
      <c r="D163" s="112"/>
      <c r="E163" s="114"/>
      <c r="F163" s="114"/>
      <c r="G163" s="114"/>
      <c r="H163" s="114"/>
      <c r="I163" s="116"/>
      <c r="J163" s="126"/>
      <c r="K163" s="110"/>
    </row>
    <row r="164" spans="1:11" ht="20.100000000000001" customHeight="1" x14ac:dyDescent="0.2">
      <c r="A164" s="129"/>
      <c r="B164" s="130"/>
      <c r="C164" s="119"/>
      <c r="D164" s="112"/>
      <c r="E164" s="114"/>
      <c r="F164" s="114"/>
      <c r="G164" s="114"/>
      <c r="H164" s="114"/>
      <c r="I164" s="117"/>
      <c r="J164" s="126"/>
      <c r="K164" s="111"/>
    </row>
    <row r="165" spans="1:11" ht="21.95" customHeight="1" x14ac:dyDescent="0.25">
      <c r="A165" s="20" t="s">
        <v>85</v>
      </c>
      <c r="B165" s="21" t="str">
        <f ca="1">IF(H165&lt;&gt;"",IF(B165="",NOW(),B165),"")</f>
        <v/>
      </c>
      <c r="C165" s="22"/>
      <c r="D165" s="23"/>
      <c r="E165" s="24"/>
      <c r="F165" s="25"/>
      <c r="G165" s="26"/>
      <c r="H165" s="27"/>
      <c r="I165" s="28" t="str">
        <f t="shared" ref="I165:I174" si="34">IF(F165+G165+H165=0,("N/A"),SUM(F165,G165,H165)/3)</f>
        <v>N/A</v>
      </c>
      <c r="J165" s="72" t="str">
        <f>IF(I165="N/A","N/A",I165-E165)</f>
        <v>N/A</v>
      </c>
      <c r="K165" s="71"/>
    </row>
    <row r="166" spans="1:11" ht="21.95" customHeight="1" x14ac:dyDescent="0.25">
      <c r="A166" s="20" t="s">
        <v>84</v>
      </c>
      <c r="B166" s="21" t="str">
        <f t="shared" ref="B166:B167" ca="1" si="35">IF(H166&lt;&gt;"",IF(B166="",NOW(),B166),"")</f>
        <v/>
      </c>
      <c r="C166" s="22"/>
      <c r="D166" s="23"/>
      <c r="E166" s="24"/>
      <c r="F166" s="25"/>
      <c r="G166" s="26"/>
      <c r="H166" s="27"/>
      <c r="I166" s="28" t="str">
        <f t="shared" si="34"/>
        <v>N/A</v>
      </c>
      <c r="J166" s="72" t="str">
        <f t="shared" ref="J166:J167" si="36">IF(I166="N/A","N/A",I166-E166)</f>
        <v>N/A</v>
      </c>
      <c r="K166" s="71"/>
    </row>
    <row r="167" spans="1:11" ht="21.95" customHeight="1" x14ac:dyDescent="0.25">
      <c r="A167" s="20" t="s">
        <v>38</v>
      </c>
      <c r="B167" s="21" t="str">
        <f t="shared" ca="1" si="35"/>
        <v/>
      </c>
      <c r="C167" s="22"/>
      <c r="D167" s="23"/>
      <c r="E167" s="24"/>
      <c r="F167" s="25"/>
      <c r="G167" s="26"/>
      <c r="H167" s="27"/>
      <c r="I167" s="28" t="str">
        <f t="shared" si="34"/>
        <v>N/A</v>
      </c>
      <c r="J167" s="72" t="str">
        <f t="shared" si="36"/>
        <v>N/A</v>
      </c>
      <c r="K167" s="71"/>
    </row>
    <row r="168" spans="1:11" ht="21.95" customHeight="1" x14ac:dyDescent="0.25">
      <c r="A168" s="20" t="s">
        <v>1</v>
      </c>
      <c r="B168" s="21" t="str">
        <f t="shared" ref="B168:B188" ca="1" si="37">IF(H168&lt;&gt;"",IF(B168="",NOW(),B168),"")</f>
        <v/>
      </c>
      <c r="C168" s="22"/>
      <c r="D168" s="23"/>
      <c r="E168" s="24"/>
      <c r="F168" s="25"/>
      <c r="G168" s="26"/>
      <c r="H168" s="27"/>
      <c r="I168" s="28" t="str">
        <f t="shared" si="34"/>
        <v>N/A</v>
      </c>
      <c r="J168" s="56" t="str">
        <f t="shared" ref="J168" si="38">IF(I168="N/A","N/A",I168-E168)</f>
        <v>N/A</v>
      </c>
      <c r="K168" s="70"/>
    </row>
    <row r="169" spans="1:11" ht="21.95" customHeight="1" x14ac:dyDescent="0.25">
      <c r="A169" s="20" t="s">
        <v>9</v>
      </c>
      <c r="B169" s="21" t="str">
        <f t="shared" ca="1" si="37"/>
        <v/>
      </c>
      <c r="C169" s="22"/>
      <c r="D169" s="23"/>
      <c r="E169" s="24"/>
      <c r="F169" s="25"/>
      <c r="G169" s="26"/>
      <c r="H169" s="27"/>
      <c r="I169" s="28" t="str">
        <f t="shared" si="34"/>
        <v>N/A</v>
      </c>
      <c r="J169" s="56" t="str">
        <f>IF(I169="N/A","N/A",I169-E169)</f>
        <v>N/A</v>
      </c>
      <c r="K169" s="70"/>
    </row>
    <row r="170" spans="1:11" ht="21.95" customHeight="1" x14ac:dyDescent="0.25">
      <c r="A170" s="20" t="s">
        <v>10</v>
      </c>
      <c r="B170" s="21" t="str">
        <f t="shared" ca="1" si="37"/>
        <v/>
      </c>
      <c r="C170" s="22"/>
      <c r="D170" s="23"/>
      <c r="E170" s="24"/>
      <c r="F170" s="25"/>
      <c r="G170" s="26"/>
      <c r="H170" s="27"/>
      <c r="I170" s="28" t="str">
        <f t="shared" si="34"/>
        <v>N/A</v>
      </c>
      <c r="J170" s="56" t="str">
        <f t="shared" ref="J170:J177" si="39">IF(I170="N/A","N/A",I170-E170)</f>
        <v>N/A</v>
      </c>
      <c r="K170" s="70"/>
    </row>
    <row r="171" spans="1:11" ht="21.95" customHeight="1" x14ac:dyDescent="0.25">
      <c r="A171" s="20" t="s">
        <v>11</v>
      </c>
      <c r="B171" s="21" t="str">
        <f t="shared" ca="1" si="37"/>
        <v/>
      </c>
      <c r="C171" s="22"/>
      <c r="D171" s="23"/>
      <c r="E171" s="24"/>
      <c r="F171" s="25"/>
      <c r="G171" s="26"/>
      <c r="H171" s="27"/>
      <c r="I171" s="28" t="str">
        <f t="shared" si="34"/>
        <v>N/A</v>
      </c>
      <c r="J171" s="56" t="str">
        <f t="shared" si="39"/>
        <v>N/A</v>
      </c>
      <c r="K171" s="70"/>
    </row>
    <row r="172" spans="1:11" ht="21.95" customHeight="1" x14ac:dyDescent="0.25">
      <c r="A172" s="20" t="s">
        <v>12</v>
      </c>
      <c r="B172" s="21" t="str">
        <f t="shared" ca="1" si="37"/>
        <v/>
      </c>
      <c r="C172" s="22"/>
      <c r="D172" s="23"/>
      <c r="E172" s="24"/>
      <c r="F172" s="25"/>
      <c r="G172" s="26"/>
      <c r="H172" s="27"/>
      <c r="I172" s="28" t="str">
        <f t="shared" si="34"/>
        <v>N/A</v>
      </c>
      <c r="J172" s="56" t="str">
        <f t="shared" si="39"/>
        <v>N/A</v>
      </c>
      <c r="K172" s="70"/>
    </row>
    <row r="173" spans="1:11" ht="21.95" customHeight="1" x14ac:dyDescent="0.25">
      <c r="A173" s="20" t="s">
        <v>13</v>
      </c>
      <c r="B173" s="21" t="str">
        <f t="shared" ca="1" si="37"/>
        <v/>
      </c>
      <c r="C173" s="22"/>
      <c r="D173" s="23"/>
      <c r="E173" s="24"/>
      <c r="F173" s="25"/>
      <c r="G173" s="26"/>
      <c r="H173" s="27"/>
      <c r="I173" s="28" t="str">
        <f t="shared" si="34"/>
        <v>N/A</v>
      </c>
      <c r="J173" s="56" t="str">
        <f t="shared" si="39"/>
        <v>N/A</v>
      </c>
      <c r="K173" s="70"/>
    </row>
    <row r="174" spans="1:11" ht="21.95" customHeight="1" x14ac:dyDescent="0.25">
      <c r="A174" s="20" t="s">
        <v>14</v>
      </c>
      <c r="B174" s="21" t="str">
        <f t="shared" ca="1" si="37"/>
        <v/>
      </c>
      <c r="C174" s="22"/>
      <c r="D174" s="23"/>
      <c r="E174" s="24"/>
      <c r="F174" s="25"/>
      <c r="G174" s="26"/>
      <c r="H174" s="27"/>
      <c r="I174" s="28" t="str">
        <f t="shared" si="34"/>
        <v>N/A</v>
      </c>
      <c r="J174" s="56" t="str">
        <f t="shared" si="39"/>
        <v>N/A</v>
      </c>
      <c r="K174" s="70"/>
    </row>
    <row r="175" spans="1:11" ht="21.95" customHeight="1" x14ac:dyDescent="0.25">
      <c r="A175" s="20" t="s">
        <v>15</v>
      </c>
      <c r="B175" s="21" t="str">
        <f t="shared" ca="1" si="37"/>
        <v/>
      </c>
      <c r="C175" s="22"/>
      <c r="D175" s="23"/>
      <c r="E175" s="24"/>
      <c r="F175" s="25"/>
      <c r="G175" s="26"/>
      <c r="H175" s="27"/>
      <c r="I175" s="28" t="str">
        <f>IF(F175+G175+H175=0,("N/A"),SUM(F175,G175,H175)/3)</f>
        <v>N/A</v>
      </c>
      <c r="J175" s="56" t="str">
        <f t="shared" si="39"/>
        <v>N/A</v>
      </c>
      <c r="K175" s="84"/>
    </row>
    <row r="176" spans="1:11" ht="21.95" customHeight="1" x14ac:dyDescent="0.25">
      <c r="A176" s="30" t="s">
        <v>16</v>
      </c>
      <c r="B176" s="21" t="str">
        <f t="shared" ca="1" si="37"/>
        <v/>
      </c>
      <c r="C176" s="22"/>
      <c r="D176" s="23"/>
      <c r="E176" s="24"/>
      <c r="F176" s="25"/>
      <c r="G176" s="26"/>
      <c r="H176" s="27"/>
      <c r="I176" s="28" t="str">
        <f>IF(F176+G176+H176=0,("N/A"),SUM(F176,G176,H176)/3)</f>
        <v>N/A</v>
      </c>
      <c r="J176" s="56" t="str">
        <f t="shared" si="39"/>
        <v>N/A</v>
      </c>
      <c r="K176" s="85"/>
    </row>
    <row r="177" spans="1:11" ht="21.95" customHeight="1" x14ac:dyDescent="0.25">
      <c r="A177" s="31" t="s">
        <v>39</v>
      </c>
      <c r="B177" s="21" t="str">
        <f t="shared" ca="1" si="37"/>
        <v/>
      </c>
      <c r="C177" s="22"/>
      <c r="D177" s="23"/>
      <c r="E177" s="24"/>
      <c r="F177" s="67"/>
      <c r="G177" s="68"/>
      <c r="H177" s="27"/>
      <c r="I177" s="28" t="str">
        <f>IF(F177+G177+H177=0,("N/A"),SUM(F177,G177,H177)/3)</f>
        <v>N/A</v>
      </c>
      <c r="J177" s="56" t="str">
        <f t="shared" si="39"/>
        <v>N/A</v>
      </c>
      <c r="K177" s="70"/>
    </row>
    <row r="178" spans="1:11" ht="21.95" customHeight="1" x14ac:dyDescent="0.25">
      <c r="A178" s="31" t="s">
        <v>19</v>
      </c>
      <c r="B178" s="21" t="str">
        <f t="shared" ca="1" si="37"/>
        <v/>
      </c>
      <c r="C178" s="22"/>
      <c r="D178" s="23"/>
      <c r="E178" s="24"/>
      <c r="F178" s="25"/>
      <c r="G178" s="26"/>
      <c r="H178" s="27"/>
      <c r="I178" s="28" t="str">
        <f t="shared" ref="I178:I188" si="40">IF(F178+G178+H178=0,("N/A"),SUM(F178,G178,H178)/3)</f>
        <v>N/A</v>
      </c>
      <c r="J178" s="56" t="str">
        <f>IF(I178="N/A","N/A",I178-E178)</f>
        <v>N/A</v>
      </c>
      <c r="K178" s="70"/>
    </row>
    <row r="179" spans="1:11" ht="21.95" customHeight="1" x14ac:dyDescent="0.25">
      <c r="A179" s="31" t="s">
        <v>20</v>
      </c>
      <c r="B179" s="21" t="str">
        <f t="shared" ca="1" si="37"/>
        <v/>
      </c>
      <c r="C179" s="22"/>
      <c r="D179" s="23"/>
      <c r="E179" s="69"/>
      <c r="F179" s="25"/>
      <c r="G179" s="26"/>
      <c r="H179" s="27"/>
      <c r="I179" s="28" t="str">
        <f t="shared" si="40"/>
        <v>N/A</v>
      </c>
      <c r="J179" s="56" t="str">
        <f t="shared" ref="J179:J188" si="41">IF(I179="N/A","N/A",I179-E179)</f>
        <v>N/A</v>
      </c>
      <c r="K179" s="70"/>
    </row>
    <row r="180" spans="1:11" ht="21.95" customHeight="1" x14ac:dyDescent="0.25">
      <c r="A180" s="31" t="s">
        <v>21</v>
      </c>
      <c r="B180" s="21" t="str">
        <f t="shared" ca="1" si="37"/>
        <v/>
      </c>
      <c r="C180" s="22"/>
      <c r="D180" s="23"/>
      <c r="E180" s="24"/>
      <c r="F180" s="25"/>
      <c r="G180" s="26"/>
      <c r="H180" s="27"/>
      <c r="I180" s="28" t="str">
        <f t="shared" si="40"/>
        <v>N/A</v>
      </c>
      <c r="J180" s="56" t="str">
        <f t="shared" si="41"/>
        <v>N/A</v>
      </c>
      <c r="K180" s="70"/>
    </row>
    <row r="181" spans="1:11" ht="21.95" customHeight="1" x14ac:dyDescent="0.3">
      <c r="A181" s="31" t="s">
        <v>2</v>
      </c>
      <c r="B181" s="21" t="str">
        <f t="shared" ca="1" si="37"/>
        <v/>
      </c>
      <c r="C181" s="22"/>
      <c r="D181" s="45"/>
      <c r="E181" s="24"/>
      <c r="F181" s="25"/>
      <c r="G181" s="26"/>
      <c r="H181" s="27"/>
      <c r="I181" s="28" t="str">
        <f t="shared" si="40"/>
        <v>N/A</v>
      </c>
      <c r="J181" s="56" t="str">
        <f t="shared" si="41"/>
        <v>N/A</v>
      </c>
      <c r="K181" s="70"/>
    </row>
    <row r="182" spans="1:11" ht="21.95" customHeight="1" x14ac:dyDescent="0.25">
      <c r="A182" s="31" t="s">
        <v>22</v>
      </c>
      <c r="B182" s="21" t="str">
        <f t="shared" ca="1" si="37"/>
        <v/>
      </c>
      <c r="C182" s="22"/>
      <c r="D182" s="23"/>
      <c r="E182" s="24"/>
      <c r="F182" s="25"/>
      <c r="G182" s="26"/>
      <c r="H182" s="27"/>
      <c r="I182" s="28" t="str">
        <f t="shared" si="40"/>
        <v>N/A</v>
      </c>
      <c r="J182" s="56" t="str">
        <f t="shared" si="41"/>
        <v>N/A</v>
      </c>
      <c r="K182" s="70"/>
    </row>
    <row r="183" spans="1:11" ht="21.95" customHeight="1" x14ac:dyDescent="0.3">
      <c r="A183" s="31" t="s">
        <v>23</v>
      </c>
      <c r="B183" s="21" t="str">
        <f t="shared" ca="1" si="37"/>
        <v/>
      </c>
      <c r="C183" s="22"/>
      <c r="D183" s="45"/>
      <c r="E183" s="24"/>
      <c r="F183" s="25"/>
      <c r="G183" s="26"/>
      <c r="H183" s="27"/>
      <c r="I183" s="28" t="str">
        <f t="shared" si="40"/>
        <v>N/A</v>
      </c>
      <c r="J183" s="56" t="str">
        <f t="shared" si="41"/>
        <v>N/A</v>
      </c>
      <c r="K183" s="70"/>
    </row>
    <row r="184" spans="1:11" ht="21.95" customHeight="1" x14ac:dyDescent="0.3">
      <c r="A184" s="31" t="s">
        <v>24</v>
      </c>
      <c r="B184" s="21" t="str">
        <f t="shared" ca="1" si="37"/>
        <v/>
      </c>
      <c r="C184" s="22"/>
      <c r="D184" s="45"/>
      <c r="E184" s="24"/>
      <c r="F184" s="25"/>
      <c r="G184" s="26"/>
      <c r="H184" s="27"/>
      <c r="I184" s="28" t="str">
        <f t="shared" si="40"/>
        <v>N/A</v>
      </c>
      <c r="J184" s="56" t="str">
        <f t="shared" si="41"/>
        <v>N/A</v>
      </c>
      <c r="K184" s="70"/>
    </row>
    <row r="185" spans="1:11" ht="21.95" customHeight="1" x14ac:dyDescent="0.3">
      <c r="A185" s="31" t="s">
        <v>25</v>
      </c>
      <c r="B185" s="21" t="str">
        <f t="shared" ca="1" si="37"/>
        <v/>
      </c>
      <c r="C185" s="22"/>
      <c r="D185" s="45"/>
      <c r="E185" s="24"/>
      <c r="F185" s="25"/>
      <c r="G185" s="26"/>
      <c r="H185" s="27"/>
      <c r="I185" s="28" t="str">
        <f t="shared" si="40"/>
        <v>N/A</v>
      </c>
      <c r="J185" s="56" t="str">
        <f t="shared" si="41"/>
        <v>N/A</v>
      </c>
      <c r="K185" s="70"/>
    </row>
    <row r="186" spans="1:11" ht="21.95" customHeight="1" x14ac:dyDescent="0.3">
      <c r="A186" s="87" t="s">
        <v>77</v>
      </c>
      <c r="B186" s="21" t="str">
        <f t="shared" ca="1" si="37"/>
        <v/>
      </c>
      <c r="C186" s="22"/>
      <c r="D186" s="45"/>
      <c r="E186" s="24"/>
      <c r="F186" s="25"/>
      <c r="G186" s="26"/>
      <c r="H186" s="27"/>
      <c r="I186" s="28" t="str">
        <f t="shared" si="40"/>
        <v>N/A</v>
      </c>
      <c r="J186" s="56" t="str">
        <f t="shared" si="41"/>
        <v>N/A</v>
      </c>
      <c r="K186" s="84"/>
    </row>
    <row r="187" spans="1:11" ht="21.95" customHeight="1" x14ac:dyDescent="0.3">
      <c r="A187" s="87" t="s">
        <v>86</v>
      </c>
      <c r="B187" s="21" t="str">
        <f t="shared" ca="1" si="37"/>
        <v/>
      </c>
      <c r="C187" s="22"/>
      <c r="D187" s="45"/>
      <c r="E187" s="24"/>
      <c r="F187" s="25"/>
      <c r="G187" s="26"/>
      <c r="H187" s="27"/>
      <c r="I187" s="28" t="str">
        <f t="shared" si="40"/>
        <v>N/A</v>
      </c>
      <c r="J187" s="56" t="str">
        <f t="shared" si="41"/>
        <v>N/A</v>
      </c>
      <c r="K187" s="84"/>
    </row>
    <row r="188" spans="1:11" ht="21.95" customHeight="1" thickBot="1" x14ac:dyDescent="0.35">
      <c r="A188" s="33" t="s">
        <v>87</v>
      </c>
      <c r="B188" s="21" t="str">
        <f t="shared" ca="1" si="37"/>
        <v/>
      </c>
      <c r="C188" s="22"/>
      <c r="D188" s="45"/>
      <c r="E188" s="24"/>
      <c r="F188" s="25"/>
      <c r="G188" s="26"/>
      <c r="H188" s="27"/>
      <c r="I188" s="28" t="str">
        <f t="shared" si="40"/>
        <v>N/A</v>
      </c>
      <c r="J188" s="56" t="str">
        <f t="shared" si="41"/>
        <v>N/A</v>
      </c>
      <c r="K188" s="83"/>
    </row>
    <row r="189" spans="1:11" ht="18" customHeight="1" x14ac:dyDescent="0.25">
      <c r="A189" s="146" t="s">
        <v>27</v>
      </c>
      <c r="B189" s="146"/>
      <c r="C189" s="146"/>
      <c r="D189" s="146"/>
      <c r="E189" s="147"/>
      <c r="F189" s="51" t="str">
        <f>IF(COUNT(J165:J175),AVERAGE(J165:J175),"N/A")</f>
        <v>N/A</v>
      </c>
      <c r="G189" s="65"/>
      <c r="H189" s="58"/>
      <c r="I189" s="58"/>
      <c r="J189" s="64"/>
      <c r="K189" s="55"/>
    </row>
    <row r="190" spans="1:11" ht="18" customHeight="1" x14ac:dyDescent="0.25">
      <c r="A190" s="36"/>
      <c r="B190" s="35"/>
      <c r="D190" s="36"/>
      <c r="E190" s="37"/>
      <c r="F190" s="52"/>
      <c r="G190" s="62"/>
      <c r="H190" s="62"/>
      <c r="I190" s="62"/>
      <c r="K190" s="55"/>
    </row>
    <row r="191" spans="1:11" ht="18" customHeight="1" x14ac:dyDescent="0.25">
      <c r="A191" s="107" t="s">
        <v>28</v>
      </c>
      <c r="B191" s="107"/>
      <c r="C191" s="107"/>
      <c r="D191" s="107"/>
      <c r="E191" s="108"/>
      <c r="F191" s="51" t="str">
        <f>IF(COUNT(J176:J188),AVERAGE(J176:J188),"N/A")</f>
        <v>N/A</v>
      </c>
      <c r="G191" s="66"/>
      <c r="H191" s="58"/>
      <c r="I191" s="58"/>
      <c r="K191" s="55"/>
    </row>
    <row r="192" spans="1:11" ht="18" customHeight="1" x14ac:dyDescent="0.25">
      <c r="A192" s="37"/>
      <c r="B192" s="40"/>
      <c r="D192" s="37"/>
      <c r="E192" s="37"/>
      <c r="F192" s="52"/>
      <c r="G192" s="62"/>
      <c r="H192" s="62"/>
      <c r="I192" s="62"/>
      <c r="K192" s="55"/>
    </row>
    <row r="193" spans="1:11" ht="18" customHeight="1" x14ac:dyDescent="0.25">
      <c r="A193" s="107" t="s">
        <v>29</v>
      </c>
      <c r="B193" s="107"/>
      <c r="C193" s="107"/>
      <c r="D193" s="107"/>
      <c r="E193" s="108"/>
      <c r="F193" s="59" t="str">
        <f>IF(COUNT(J165:J188),AVERAGE(J165:J188),"N/A")</f>
        <v>N/A</v>
      </c>
      <c r="G193" s="58"/>
      <c r="H193" s="58"/>
      <c r="I193" s="58"/>
      <c r="K193" s="55"/>
    </row>
    <row r="194" spans="1:11" ht="18" customHeight="1" x14ac:dyDescent="0.25">
      <c r="A194" s="39"/>
      <c r="B194" s="40"/>
      <c r="C194" s="62"/>
      <c r="D194" s="62"/>
      <c r="E194" s="62"/>
      <c r="F194" s="62"/>
      <c r="G194" s="62"/>
      <c r="H194" s="62"/>
      <c r="I194" s="62"/>
      <c r="J194" s="62"/>
      <c r="K194" s="55"/>
    </row>
    <row r="195" spans="1:11" ht="18" customHeight="1" thickBot="1" x14ac:dyDescent="0.25">
      <c r="A195" s="41"/>
      <c r="B195" s="42"/>
      <c r="C195" s="42"/>
      <c r="D195" s="42"/>
      <c r="E195" s="43"/>
      <c r="F195" s="43"/>
      <c r="G195" s="43"/>
      <c r="H195" s="43"/>
      <c r="I195" s="43"/>
      <c r="J195" s="43"/>
      <c r="K195" s="44"/>
    </row>
    <row r="196" spans="1:11" ht="23.25" thickTop="1" x14ac:dyDescent="0.3">
      <c r="A196" s="13" t="s">
        <v>17</v>
      </c>
      <c r="B196" s="14"/>
      <c r="C196" s="120"/>
      <c r="D196" s="121"/>
      <c r="E196" s="122"/>
      <c r="F196" s="123" t="s">
        <v>34</v>
      </c>
      <c r="G196" s="124"/>
      <c r="H196" s="15"/>
      <c r="I196" s="15"/>
      <c r="J196" s="53"/>
      <c r="K196" s="16"/>
    </row>
    <row r="197" spans="1:11" ht="13.5" thickBot="1" x14ac:dyDescent="0.25">
      <c r="A197" s="18"/>
      <c r="B197" s="19"/>
      <c r="C197" s="19"/>
      <c r="D197" s="19"/>
      <c r="E197" s="19"/>
      <c r="F197" s="19"/>
      <c r="G197" s="19"/>
      <c r="H197" s="19"/>
      <c r="I197" s="19"/>
      <c r="J197" s="19"/>
      <c r="K197" s="55"/>
    </row>
    <row r="198" spans="1:11" ht="14.1" customHeight="1" thickTop="1" thickBot="1" x14ac:dyDescent="0.25">
      <c r="A198" s="142" t="s">
        <v>40</v>
      </c>
      <c r="B198" s="143"/>
      <c r="C198" s="143"/>
      <c r="D198" s="143"/>
      <c r="E198" s="148" t="s">
        <v>8</v>
      </c>
      <c r="F198" s="148"/>
      <c r="G198" s="148"/>
      <c r="H198" s="148"/>
      <c r="I198" s="148"/>
      <c r="J198" s="149"/>
      <c r="K198" s="89"/>
    </row>
    <row r="199" spans="1:11" ht="14.1" customHeight="1" thickTop="1" thickBot="1" x14ac:dyDescent="0.25">
      <c r="A199" s="142"/>
      <c r="B199" s="143"/>
      <c r="C199" s="143"/>
      <c r="D199" s="143"/>
      <c r="E199" s="148"/>
      <c r="F199" s="148"/>
      <c r="G199" s="148"/>
      <c r="H199" s="148"/>
      <c r="I199" s="148"/>
      <c r="J199" s="149"/>
      <c r="K199" s="90"/>
    </row>
    <row r="200" spans="1:11" ht="14.1" customHeight="1" thickTop="1" thickBot="1" x14ac:dyDescent="0.25">
      <c r="A200" s="142"/>
      <c r="B200" s="143"/>
      <c r="C200" s="143"/>
      <c r="D200" s="143"/>
      <c r="E200" s="148"/>
      <c r="F200" s="148"/>
      <c r="G200" s="148"/>
      <c r="H200" s="148"/>
      <c r="I200" s="148"/>
      <c r="J200" s="149"/>
      <c r="K200" s="91"/>
    </row>
    <row r="201" spans="1:11" ht="20.100000000000001" customHeight="1" thickTop="1" x14ac:dyDescent="0.2">
      <c r="A201" s="129" t="s">
        <v>3</v>
      </c>
      <c r="B201" s="130" t="s">
        <v>41</v>
      </c>
      <c r="C201" s="119" t="s">
        <v>26</v>
      </c>
      <c r="D201" s="112" t="s">
        <v>47</v>
      </c>
      <c r="E201" s="114" t="s">
        <v>0</v>
      </c>
      <c r="F201" s="114" t="s">
        <v>4</v>
      </c>
      <c r="G201" s="114" t="s">
        <v>5</v>
      </c>
      <c r="H201" s="114" t="s">
        <v>6</v>
      </c>
      <c r="I201" s="116" t="s">
        <v>7</v>
      </c>
      <c r="J201" s="126" t="s">
        <v>18</v>
      </c>
      <c r="K201" s="109" t="s">
        <v>83</v>
      </c>
    </row>
    <row r="202" spans="1:11" ht="20.100000000000001" customHeight="1" x14ac:dyDescent="0.2">
      <c r="A202" s="129"/>
      <c r="B202" s="130"/>
      <c r="C202" s="119"/>
      <c r="D202" s="112"/>
      <c r="E202" s="114"/>
      <c r="F202" s="114"/>
      <c r="G202" s="114"/>
      <c r="H202" s="114"/>
      <c r="I202" s="116"/>
      <c r="J202" s="126"/>
      <c r="K202" s="110"/>
    </row>
    <row r="203" spans="1:11" ht="20.100000000000001" customHeight="1" x14ac:dyDescent="0.2">
      <c r="A203" s="129"/>
      <c r="B203" s="130"/>
      <c r="C203" s="119"/>
      <c r="D203" s="112"/>
      <c r="E203" s="114"/>
      <c r="F203" s="114"/>
      <c r="G203" s="114"/>
      <c r="H203" s="114"/>
      <c r="I203" s="117"/>
      <c r="J203" s="126"/>
      <c r="K203" s="111"/>
    </row>
    <row r="204" spans="1:11" ht="21.95" customHeight="1" x14ac:dyDescent="0.25">
      <c r="A204" s="20" t="s">
        <v>85</v>
      </c>
      <c r="B204" s="21" t="str">
        <f ca="1">IF(H204&lt;&gt;"",IF(B204="",NOW(),B204),"")</f>
        <v/>
      </c>
      <c r="C204" s="22"/>
      <c r="D204" s="23"/>
      <c r="E204" s="24"/>
      <c r="F204" s="25"/>
      <c r="G204" s="26"/>
      <c r="H204" s="27"/>
      <c r="I204" s="28" t="str">
        <f t="shared" ref="I204:I213" si="42">IF(F204+G204+H204=0,("N/A"),SUM(F204,G204,H204)/3)</f>
        <v>N/A</v>
      </c>
      <c r="J204" s="72" t="str">
        <f>IF(I204="N/A","N/A",I204-E204)</f>
        <v>N/A</v>
      </c>
      <c r="K204" s="71"/>
    </row>
    <row r="205" spans="1:11" ht="21.95" customHeight="1" x14ac:dyDescent="0.25">
      <c r="A205" s="20" t="s">
        <v>84</v>
      </c>
      <c r="B205" s="21" t="str">
        <f t="shared" ref="B205:B206" ca="1" si="43">IF(H205&lt;&gt;"",IF(B205="",NOW(),B205),"")</f>
        <v/>
      </c>
      <c r="C205" s="22"/>
      <c r="D205" s="23"/>
      <c r="E205" s="24"/>
      <c r="F205" s="25"/>
      <c r="G205" s="26"/>
      <c r="H205" s="27"/>
      <c r="I205" s="28" t="str">
        <f t="shared" si="42"/>
        <v>N/A</v>
      </c>
      <c r="J205" s="72" t="str">
        <f t="shared" ref="J205:J206" si="44">IF(I205="N/A","N/A",I205-E205)</f>
        <v>N/A</v>
      </c>
      <c r="K205" s="71"/>
    </row>
    <row r="206" spans="1:11" ht="21.95" customHeight="1" x14ac:dyDescent="0.25">
      <c r="A206" s="20" t="s">
        <v>38</v>
      </c>
      <c r="B206" s="21" t="str">
        <f t="shared" ca="1" si="43"/>
        <v/>
      </c>
      <c r="C206" s="22"/>
      <c r="D206" s="23"/>
      <c r="E206" s="24"/>
      <c r="F206" s="25"/>
      <c r="G206" s="26"/>
      <c r="H206" s="27"/>
      <c r="I206" s="28" t="str">
        <f t="shared" si="42"/>
        <v>N/A</v>
      </c>
      <c r="J206" s="72" t="str">
        <f t="shared" si="44"/>
        <v>N/A</v>
      </c>
      <c r="K206" s="71"/>
    </row>
    <row r="207" spans="1:11" ht="21.95" customHeight="1" x14ac:dyDescent="0.25">
      <c r="A207" s="20" t="s">
        <v>1</v>
      </c>
      <c r="B207" s="21" t="str">
        <f t="shared" ref="B207:B227" ca="1" si="45">IF(H207&lt;&gt;"",IF(B207="",NOW(),B207),"")</f>
        <v/>
      </c>
      <c r="C207" s="22"/>
      <c r="D207" s="23"/>
      <c r="E207" s="24"/>
      <c r="F207" s="25"/>
      <c r="G207" s="26"/>
      <c r="H207" s="27"/>
      <c r="I207" s="28" t="str">
        <f t="shared" si="42"/>
        <v>N/A</v>
      </c>
      <c r="J207" s="56" t="str">
        <f t="shared" ref="J207" si="46">IF(I207="N/A","N/A",I207-E207)</f>
        <v>N/A</v>
      </c>
      <c r="K207" s="70"/>
    </row>
    <row r="208" spans="1:11" ht="21.95" customHeight="1" x14ac:dyDescent="0.25">
      <c r="A208" s="20" t="s">
        <v>9</v>
      </c>
      <c r="B208" s="21" t="str">
        <f t="shared" ca="1" si="45"/>
        <v/>
      </c>
      <c r="C208" s="22"/>
      <c r="D208" s="23"/>
      <c r="E208" s="24"/>
      <c r="F208" s="25"/>
      <c r="G208" s="26"/>
      <c r="H208" s="27"/>
      <c r="I208" s="28" t="str">
        <f t="shared" si="42"/>
        <v>N/A</v>
      </c>
      <c r="J208" s="56" t="str">
        <f>IF(I208="N/A","N/A",I208-E208)</f>
        <v>N/A</v>
      </c>
      <c r="K208" s="70"/>
    </row>
    <row r="209" spans="1:11" ht="21.95" customHeight="1" x14ac:dyDescent="0.25">
      <c r="A209" s="20" t="s">
        <v>10</v>
      </c>
      <c r="B209" s="21" t="str">
        <f t="shared" ca="1" si="45"/>
        <v/>
      </c>
      <c r="C209" s="22"/>
      <c r="D209" s="23"/>
      <c r="E209" s="24"/>
      <c r="F209" s="25"/>
      <c r="G209" s="26"/>
      <c r="H209" s="27"/>
      <c r="I209" s="28" t="str">
        <f t="shared" si="42"/>
        <v>N/A</v>
      </c>
      <c r="J209" s="56" t="str">
        <f t="shared" ref="J209:J216" si="47">IF(I209="N/A","N/A",I209-E209)</f>
        <v>N/A</v>
      </c>
      <c r="K209" s="70"/>
    </row>
    <row r="210" spans="1:11" ht="21.95" customHeight="1" x14ac:dyDescent="0.25">
      <c r="A210" s="20" t="s">
        <v>11</v>
      </c>
      <c r="B210" s="21" t="str">
        <f t="shared" ca="1" si="45"/>
        <v/>
      </c>
      <c r="C210" s="22"/>
      <c r="D210" s="23"/>
      <c r="E210" s="24"/>
      <c r="F210" s="25"/>
      <c r="G210" s="26"/>
      <c r="H210" s="27"/>
      <c r="I210" s="28" t="str">
        <f t="shared" si="42"/>
        <v>N/A</v>
      </c>
      <c r="J210" s="56" t="str">
        <f t="shared" si="47"/>
        <v>N/A</v>
      </c>
      <c r="K210" s="70"/>
    </row>
    <row r="211" spans="1:11" ht="21.95" customHeight="1" x14ac:dyDescent="0.25">
      <c r="A211" s="20" t="s">
        <v>12</v>
      </c>
      <c r="B211" s="21" t="str">
        <f t="shared" ca="1" si="45"/>
        <v/>
      </c>
      <c r="C211" s="22"/>
      <c r="D211" s="23"/>
      <c r="E211" s="24"/>
      <c r="F211" s="25"/>
      <c r="G211" s="26"/>
      <c r="H211" s="27"/>
      <c r="I211" s="28" t="str">
        <f t="shared" si="42"/>
        <v>N/A</v>
      </c>
      <c r="J211" s="56" t="str">
        <f t="shared" si="47"/>
        <v>N/A</v>
      </c>
      <c r="K211" s="70"/>
    </row>
    <row r="212" spans="1:11" ht="21.95" customHeight="1" x14ac:dyDescent="0.25">
      <c r="A212" s="20" t="s">
        <v>13</v>
      </c>
      <c r="B212" s="21" t="str">
        <f t="shared" ca="1" si="45"/>
        <v/>
      </c>
      <c r="C212" s="22"/>
      <c r="D212" s="23"/>
      <c r="E212" s="24"/>
      <c r="F212" s="25"/>
      <c r="G212" s="26"/>
      <c r="H212" s="27"/>
      <c r="I212" s="28" t="str">
        <f t="shared" si="42"/>
        <v>N/A</v>
      </c>
      <c r="J212" s="56" t="str">
        <f t="shared" si="47"/>
        <v>N/A</v>
      </c>
      <c r="K212" s="70"/>
    </row>
    <row r="213" spans="1:11" ht="21.95" customHeight="1" x14ac:dyDescent="0.25">
      <c r="A213" s="20" t="s">
        <v>14</v>
      </c>
      <c r="B213" s="21" t="str">
        <f t="shared" ca="1" si="45"/>
        <v/>
      </c>
      <c r="C213" s="22"/>
      <c r="D213" s="23"/>
      <c r="E213" s="24"/>
      <c r="F213" s="25"/>
      <c r="G213" s="26"/>
      <c r="H213" s="27"/>
      <c r="I213" s="28" t="str">
        <f t="shared" si="42"/>
        <v>N/A</v>
      </c>
      <c r="J213" s="56" t="str">
        <f t="shared" si="47"/>
        <v>N/A</v>
      </c>
      <c r="K213" s="70"/>
    </row>
    <row r="214" spans="1:11" ht="21.95" customHeight="1" x14ac:dyDescent="0.25">
      <c r="A214" s="20" t="s">
        <v>15</v>
      </c>
      <c r="B214" s="21" t="str">
        <f t="shared" ca="1" si="45"/>
        <v/>
      </c>
      <c r="C214" s="22"/>
      <c r="D214" s="23"/>
      <c r="E214" s="24"/>
      <c r="F214" s="25"/>
      <c r="G214" s="26"/>
      <c r="H214" s="27"/>
      <c r="I214" s="28" t="str">
        <f>IF(F214+G214+H214=0,("N/A"),SUM(F214,G214,H214)/3)</f>
        <v>N/A</v>
      </c>
      <c r="J214" s="56" t="str">
        <f t="shared" si="47"/>
        <v>N/A</v>
      </c>
      <c r="K214" s="84"/>
    </row>
    <row r="215" spans="1:11" ht="21.95" customHeight="1" x14ac:dyDescent="0.25">
      <c r="A215" s="30" t="s">
        <v>16</v>
      </c>
      <c r="B215" s="21" t="str">
        <f t="shared" ca="1" si="45"/>
        <v/>
      </c>
      <c r="C215" s="22"/>
      <c r="D215" s="23"/>
      <c r="E215" s="24"/>
      <c r="F215" s="25"/>
      <c r="G215" s="26"/>
      <c r="H215" s="27"/>
      <c r="I215" s="28" t="str">
        <f>IF(F215+G215+H215=0,("N/A"),SUM(F215,G215,H215)/3)</f>
        <v>N/A</v>
      </c>
      <c r="J215" s="56" t="str">
        <f t="shared" si="47"/>
        <v>N/A</v>
      </c>
      <c r="K215" s="85"/>
    </row>
    <row r="216" spans="1:11" ht="21.95" customHeight="1" x14ac:dyDescent="0.25">
      <c r="A216" s="31" t="s">
        <v>39</v>
      </c>
      <c r="B216" s="21" t="str">
        <f t="shared" ca="1" si="45"/>
        <v/>
      </c>
      <c r="C216" s="22"/>
      <c r="D216" s="23"/>
      <c r="E216" s="24"/>
      <c r="F216" s="67"/>
      <c r="G216" s="68"/>
      <c r="H216" s="27"/>
      <c r="I216" s="28" t="str">
        <f>IF(F216+G216+H216=0,("N/A"),SUM(F216,G216,H216)/3)</f>
        <v>N/A</v>
      </c>
      <c r="J216" s="56" t="str">
        <f t="shared" si="47"/>
        <v>N/A</v>
      </c>
      <c r="K216" s="70"/>
    </row>
    <row r="217" spans="1:11" ht="21.95" customHeight="1" x14ac:dyDescent="0.25">
      <c r="A217" s="31" t="s">
        <v>19</v>
      </c>
      <c r="B217" s="21" t="str">
        <f t="shared" ca="1" si="45"/>
        <v/>
      </c>
      <c r="C217" s="22"/>
      <c r="D217" s="23"/>
      <c r="E217" s="24"/>
      <c r="F217" s="25"/>
      <c r="G217" s="26"/>
      <c r="H217" s="27"/>
      <c r="I217" s="28" t="str">
        <f t="shared" ref="I217:I227" si="48">IF(F217+G217+H217=0,("N/A"),SUM(F217,G217,H217)/3)</f>
        <v>N/A</v>
      </c>
      <c r="J217" s="56" t="str">
        <f>IF(I217="N/A","N/A",I217-E217)</f>
        <v>N/A</v>
      </c>
      <c r="K217" s="70"/>
    </row>
    <row r="218" spans="1:11" ht="21.95" customHeight="1" x14ac:dyDescent="0.25">
      <c r="A218" s="31" t="s">
        <v>20</v>
      </c>
      <c r="B218" s="21" t="str">
        <f t="shared" ca="1" si="45"/>
        <v/>
      </c>
      <c r="C218" s="22"/>
      <c r="D218" s="23"/>
      <c r="E218" s="69"/>
      <c r="F218" s="25"/>
      <c r="G218" s="26"/>
      <c r="H218" s="27"/>
      <c r="I218" s="28" t="str">
        <f t="shared" si="48"/>
        <v>N/A</v>
      </c>
      <c r="J218" s="56" t="str">
        <f t="shared" ref="J218:J227" si="49">IF(I218="N/A","N/A",I218-E218)</f>
        <v>N/A</v>
      </c>
      <c r="K218" s="70"/>
    </row>
    <row r="219" spans="1:11" ht="21.95" customHeight="1" x14ac:dyDescent="0.25">
      <c r="A219" s="31" t="s">
        <v>21</v>
      </c>
      <c r="B219" s="21" t="str">
        <f t="shared" ca="1" si="45"/>
        <v/>
      </c>
      <c r="C219" s="22"/>
      <c r="D219" s="23"/>
      <c r="E219" s="24"/>
      <c r="F219" s="25"/>
      <c r="G219" s="26"/>
      <c r="H219" s="27"/>
      <c r="I219" s="28" t="str">
        <f t="shared" si="48"/>
        <v>N/A</v>
      </c>
      <c r="J219" s="56" t="str">
        <f t="shared" si="49"/>
        <v>N/A</v>
      </c>
      <c r="K219" s="70"/>
    </row>
    <row r="220" spans="1:11" ht="21.95" customHeight="1" x14ac:dyDescent="0.3">
      <c r="A220" s="31" t="s">
        <v>2</v>
      </c>
      <c r="B220" s="21" t="str">
        <f t="shared" ca="1" si="45"/>
        <v/>
      </c>
      <c r="C220" s="22"/>
      <c r="D220" s="45"/>
      <c r="E220" s="24"/>
      <c r="F220" s="25"/>
      <c r="G220" s="26"/>
      <c r="H220" s="27"/>
      <c r="I220" s="28" t="str">
        <f t="shared" si="48"/>
        <v>N/A</v>
      </c>
      <c r="J220" s="56" t="str">
        <f t="shared" si="49"/>
        <v>N/A</v>
      </c>
      <c r="K220" s="70"/>
    </row>
    <row r="221" spans="1:11" ht="21.95" customHeight="1" x14ac:dyDescent="0.25">
      <c r="A221" s="31" t="s">
        <v>22</v>
      </c>
      <c r="B221" s="21" t="str">
        <f t="shared" ca="1" si="45"/>
        <v/>
      </c>
      <c r="C221" s="22"/>
      <c r="D221" s="23"/>
      <c r="E221" s="24"/>
      <c r="F221" s="25"/>
      <c r="G221" s="26"/>
      <c r="H221" s="27"/>
      <c r="I221" s="28" t="str">
        <f t="shared" si="48"/>
        <v>N/A</v>
      </c>
      <c r="J221" s="56" t="str">
        <f t="shared" si="49"/>
        <v>N/A</v>
      </c>
      <c r="K221" s="70"/>
    </row>
    <row r="222" spans="1:11" ht="21.95" customHeight="1" x14ac:dyDescent="0.3">
      <c r="A222" s="31" t="s">
        <v>23</v>
      </c>
      <c r="B222" s="21" t="str">
        <f t="shared" ca="1" si="45"/>
        <v/>
      </c>
      <c r="C222" s="22"/>
      <c r="D222" s="45"/>
      <c r="E222" s="24"/>
      <c r="F222" s="25"/>
      <c r="G222" s="26"/>
      <c r="H222" s="27"/>
      <c r="I222" s="28" t="str">
        <f t="shared" si="48"/>
        <v>N/A</v>
      </c>
      <c r="J222" s="56" t="str">
        <f t="shared" si="49"/>
        <v>N/A</v>
      </c>
      <c r="K222" s="70"/>
    </row>
    <row r="223" spans="1:11" ht="21.95" customHeight="1" x14ac:dyDescent="0.3">
      <c r="A223" s="31" t="s">
        <v>24</v>
      </c>
      <c r="B223" s="21" t="str">
        <f t="shared" ca="1" si="45"/>
        <v/>
      </c>
      <c r="C223" s="22"/>
      <c r="D223" s="45"/>
      <c r="E223" s="24"/>
      <c r="F223" s="25"/>
      <c r="G223" s="26"/>
      <c r="H223" s="27"/>
      <c r="I223" s="28" t="str">
        <f t="shared" si="48"/>
        <v>N/A</v>
      </c>
      <c r="J223" s="56" t="str">
        <f t="shared" si="49"/>
        <v>N/A</v>
      </c>
      <c r="K223" s="70"/>
    </row>
    <row r="224" spans="1:11" ht="21.95" customHeight="1" x14ac:dyDescent="0.3">
      <c r="A224" s="31" t="s">
        <v>25</v>
      </c>
      <c r="B224" s="21" t="str">
        <f t="shared" ca="1" si="45"/>
        <v/>
      </c>
      <c r="C224" s="22"/>
      <c r="D224" s="45"/>
      <c r="E224" s="24"/>
      <c r="F224" s="25"/>
      <c r="G224" s="26"/>
      <c r="H224" s="27"/>
      <c r="I224" s="28" t="str">
        <f t="shared" si="48"/>
        <v>N/A</v>
      </c>
      <c r="J224" s="56" t="str">
        <f t="shared" si="49"/>
        <v>N/A</v>
      </c>
      <c r="K224" s="70"/>
    </row>
    <row r="225" spans="1:11" ht="21.95" customHeight="1" x14ac:dyDescent="0.3">
      <c r="A225" s="87" t="s">
        <v>77</v>
      </c>
      <c r="B225" s="21" t="str">
        <f t="shared" ca="1" si="45"/>
        <v/>
      </c>
      <c r="C225" s="22"/>
      <c r="D225" s="45"/>
      <c r="E225" s="24"/>
      <c r="F225" s="25"/>
      <c r="G225" s="26"/>
      <c r="H225" s="27"/>
      <c r="I225" s="28" t="str">
        <f t="shared" si="48"/>
        <v>N/A</v>
      </c>
      <c r="J225" s="56" t="str">
        <f t="shared" si="49"/>
        <v>N/A</v>
      </c>
      <c r="K225" s="84"/>
    </row>
    <row r="226" spans="1:11" ht="21.95" customHeight="1" x14ac:dyDescent="0.3">
      <c r="A226" s="87" t="s">
        <v>86</v>
      </c>
      <c r="B226" s="21" t="str">
        <f t="shared" ca="1" si="45"/>
        <v/>
      </c>
      <c r="C226" s="22"/>
      <c r="D226" s="45"/>
      <c r="E226" s="24"/>
      <c r="F226" s="25"/>
      <c r="G226" s="26"/>
      <c r="H226" s="27"/>
      <c r="I226" s="28" t="str">
        <f t="shared" si="48"/>
        <v>N/A</v>
      </c>
      <c r="J226" s="56" t="str">
        <f t="shared" si="49"/>
        <v>N/A</v>
      </c>
      <c r="K226" s="84"/>
    </row>
    <row r="227" spans="1:11" ht="21.95" customHeight="1" thickBot="1" x14ac:dyDescent="0.35">
      <c r="A227" s="33" t="s">
        <v>87</v>
      </c>
      <c r="B227" s="21" t="str">
        <f t="shared" ca="1" si="45"/>
        <v/>
      </c>
      <c r="C227" s="22"/>
      <c r="D227" s="45"/>
      <c r="E227" s="24"/>
      <c r="F227" s="25"/>
      <c r="G227" s="26"/>
      <c r="H227" s="27"/>
      <c r="I227" s="28" t="str">
        <f t="shared" si="48"/>
        <v>N/A</v>
      </c>
      <c r="J227" s="56" t="str">
        <f t="shared" si="49"/>
        <v>N/A</v>
      </c>
      <c r="K227" s="83"/>
    </row>
    <row r="228" spans="1:11" ht="18" customHeight="1" x14ac:dyDescent="0.25">
      <c r="A228" s="146" t="s">
        <v>27</v>
      </c>
      <c r="B228" s="146"/>
      <c r="C228" s="146"/>
      <c r="D228" s="146"/>
      <c r="E228" s="147"/>
      <c r="F228" s="51" t="str">
        <f>IF(COUNT(J204:J214),AVERAGE(J204:J214),"N/A")</f>
        <v>N/A</v>
      </c>
      <c r="G228" s="65"/>
      <c r="H228" s="58"/>
      <c r="I228" s="58"/>
      <c r="J228" s="64"/>
      <c r="K228" s="55"/>
    </row>
    <row r="229" spans="1:11" ht="18" customHeight="1" x14ac:dyDescent="0.25">
      <c r="A229" s="36"/>
      <c r="B229" s="35"/>
      <c r="D229" s="36"/>
      <c r="E229" s="37"/>
      <c r="F229" s="52"/>
      <c r="G229" s="62"/>
      <c r="H229" s="62"/>
      <c r="I229" s="62"/>
      <c r="K229" s="55"/>
    </row>
    <row r="230" spans="1:11" ht="18" customHeight="1" x14ac:dyDescent="0.25">
      <c r="A230" s="107" t="s">
        <v>28</v>
      </c>
      <c r="B230" s="107"/>
      <c r="C230" s="107"/>
      <c r="D230" s="107"/>
      <c r="E230" s="108"/>
      <c r="F230" s="51" t="str">
        <f>IF(COUNT(J215:J227),AVERAGE(J215:J227),"N/A")</f>
        <v>N/A</v>
      </c>
      <c r="G230" s="66"/>
      <c r="H230" s="58"/>
      <c r="I230" s="58"/>
      <c r="K230" s="55"/>
    </row>
    <row r="231" spans="1:11" ht="18" customHeight="1" x14ac:dyDescent="0.25">
      <c r="A231" s="37"/>
      <c r="B231" s="40"/>
      <c r="D231" s="37"/>
      <c r="E231" s="37"/>
      <c r="F231" s="52"/>
      <c r="G231" s="62"/>
      <c r="H231" s="62"/>
      <c r="I231" s="62"/>
      <c r="K231" s="55"/>
    </row>
    <row r="232" spans="1:11" ht="18" customHeight="1" x14ac:dyDescent="0.25">
      <c r="A232" s="107" t="s">
        <v>29</v>
      </c>
      <c r="B232" s="107"/>
      <c r="C232" s="107"/>
      <c r="D232" s="107"/>
      <c r="E232" s="108"/>
      <c r="F232" s="59" t="str">
        <f>IF(COUNT(J204:J227),AVERAGE(J204:J227),"N/A")</f>
        <v>N/A</v>
      </c>
      <c r="G232" s="58"/>
      <c r="H232" s="58"/>
      <c r="I232" s="58"/>
      <c r="K232" s="55"/>
    </row>
    <row r="233" spans="1:11" ht="18" customHeight="1" x14ac:dyDescent="0.25">
      <c r="A233" s="39"/>
      <c r="B233" s="40"/>
      <c r="C233" s="62"/>
      <c r="D233" s="62"/>
      <c r="E233" s="62"/>
      <c r="F233" s="62"/>
      <c r="G233" s="62"/>
      <c r="H233" s="62"/>
      <c r="I233" s="62"/>
      <c r="J233" s="62"/>
      <c r="K233" s="55"/>
    </row>
    <row r="234" spans="1:11" ht="18" customHeight="1" thickBot="1" x14ac:dyDescent="0.25">
      <c r="A234" s="41"/>
      <c r="B234" s="42"/>
      <c r="C234" s="42"/>
      <c r="D234" s="42"/>
      <c r="E234" s="43"/>
      <c r="F234" s="43"/>
      <c r="G234" s="43"/>
      <c r="H234" s="43"/>
      <c r="I234" s="43"/>
      <c r="J234" s="43"/>
      <c r="K234" s="44"/>
    </row>
    <row r="235" spans="1:11" ht="23.25" customHeight="1" thickTop="1" x14ac:dyDescent="0.3">
      <c r="A235" s="13" t="s">
        <v>17</v>
      </c>
      <c r="B235" s="14"/>
      <c r="C235" s="120"/>
      <c r="D235" s="121"/>
      <c r="E235" s="122"/>
      <c r="F235" s="123" t="s">
        <v>37</v>
      </c>
      <c r="G235" s="124"/>
      <c r="H235" s="15"/>
      <c r="I235" s="15"/>
      <c r="J235" s="53"/>
      <c r="K235" s="16"/>
    </row>
    <row r="236" spans="1:11" ht="12.75" customHeight="1" thickBot="1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55"/>
    </row>
    <row r="237" spans="1:11" ht="14.1" customHeight="1" thickTop="1" thickBot="1" x14ac:dyDescent="0.25">
      <c r="A237" s="142" t="s">
        <v>40</v>
      </c>
      <c r="B237" s="143"/>
      <c r="C237" s="143"/>
      <c r="D237" s="143"/>
      <c r="E237" s="148" t="s">
        <v>8</v>
      </c>
      <c r="F237" s="148"/>
      <c r="G237" s="148"/>
      <c r="H237" s="148"/>
      <c r="I237" s="148"/>
      <c r="J237" s="149"/>
      <c r="K237" s="89"/>
    </row>
    <row r="238" spans="1:11" ht="14.1" customHeight="1" thickTop="1" thickBot="1" x14ac:dyDescent="0.25">
      <c r="A238" s="142"/>
      <c r="B238" s="143"/>
      <c r="C238" s="143"/>
      <c r="D238" s="143"/>
      <c r="E238" s="148"/>
      <c r="F238" s="148"/>
      <c r="G238" s="148"/>
      <c r="H238" s="148"/>
      <c r="I238" s="148"/>
      <c r="J238" s="149"/>
      <c r="K238" s="90"/>
    </row>
    <row r="239" spans="1:11" ht="14.1" customHeight="1" thickTop="1" thickBot="1" x14ac:dyDescent="0.25">
      <c r="A239" s="142"/>
      <c r="B239" s="143"/>
      <c r="C239" s="143"/>
      <c r="D239" s="143"/>
      <c r="E239" s="148"/>
      <c r="F239" s="148"/>
      <c r="G239" s="148"/>
      <c r="H239" s="148"/>
      <c r="I239" s="148"/>
      <c r="J239" s="149"/>
      <c r="K239" s="91"/>
    </row>
    <row r="240" spans="1:11" ht="20.100000000000001" customHeight="1" thickTop="1" x14ac:dyDescent="0.2">
      <c r="A240" s="129" t="s">
        <v>3</v>
      </c>
      <c r="B240" s="130" t="s">
        <v>41</v>
      </c>
      <c r="C240" s="119" t="s">
        <v>26</v>
      </c>
      <c r="D240" s="112" t="s">
        <v>47</v>
      </c>
      <c r="E240" s="114" t="s">
        <v>0</v>
      </c>
      <c r="F240" s="114" t="s">
        <v>4</v>
      </c>
      <c r="G240" s="114" t="s">
        <v>5</v>
      </c>
      <c r="H240" s="114" t="s">
        <v>6</v>
      </c>
      <c r="I240" s="116" t="s">
        <v>7</v>
      </c>
      <c r="J240" s="126" t="s">
        <v>18</v>
      </c>
      <c r="K240" s="144" t="s">
        <v>83</v>
      </c>
    </row>
    <row r="241" spans="1:11" ht="20.100000000000001" customHeight="1" x14ac:dyDescent="0.2">
      <c r="A241" s="129"/>
      <c r="B241" s="130"/>
      <c r="C241" s="119"/>
      <c r="D241" s="112"/>
      <c r="E241" s="114"/>
      <c r="F241" s="114"/>
      <c r="G241" s="114"/>
      <c r="H241" s="114"/>
      <c r="I241" s="116"/>
      <c r="J241" s="126"/>
      <c r="K241" s="145"/>
    </row>
    <row r="242" spans="1:11" ht="20.100000000000001" customHeight="1" x14ac:dyDescent="0.2">
      <c r="A242" s="129"/>
      <c r="B242" s="130"/>
      <c r="C242" s="119"/>
      <c r="D242" s="112"/>
      <c r="E242" s="114"/>
      <c r="F242" s="114"/>
      <c r="G242" s="114"/>
      <c r="H242" s="114"/>
      <c r="I242" s="117"/>
      <c r="J242" s="126"/>
      <c r="K242" s="145"/>
    </row>
    <row r="243" spans="1:11" ht="21.95" customHeight="1" x14ac:dyDescent="0.25">
      <c r="A243" s="20" t="s">
        <v>85</v>
      </c>
      <c r="B243" s="21" t="str">
        <f ca="1">IF(H243&lt;&gt;"",IF(B243="",NOW(),B243),"")</f>
        <v/>
      </c>
      <c r="C243" s="22"/>
      <c r="D243" s="23"/>
      <c r="E243" s="24"/>
      <c r="F243" s="25"/>
      <c r="G243" s="26"/>
      <c r="H243" s="27"/>
      <c r="I243" s="28" t="str">
        <f t="shared" ref="I243:I252" si="50">IF(F243+G243+H243=0,("N/A"),SUM(F243,G243,H243)/3)</f>
        <v>N/A</v>
      </c>
      <c r="J243" s="72" t="str">
        <f>IF(I243="N/A","N/A",I243-E243)</f>
        <v>N/A</v>
      </c>
      <c r="K243" s="85"/>
    </row>
    <row r="244" spans="1:11" ht="21.95" customHeight="1" x14ac:dyDescent="0.25">
      <c r="A244" s="20" t="s">
        <v>84</v>
      </c>
      <c r="B244" s="21" t="str">
        <f t="shared" ref="B244:B245" ca="1" si="51">IF(H244&lt;&gt;"",IF(B244="",NOW(),B244),"")</f>
        <v/>
      </c>
      <c r="C244" s="22"/>
      <c r="D244" s="23"/>
      <c r="E244" s="24"/>
      <c r="F244" s="25"/>
      <c r="G244" s="26"/>
      <c r="H244" s="27"/>
      <c r="I244" s="28" t="str">
        <f t="shared" si="50"/>
        <v>N/A</v>
      </c>
      <c r="J244" s="72" t="str">
        <f t="shared" ref="J244:J245" si="52">IF(I244="N/A","N/A",I244-E244)</f>
        <v>N/A</v>
      </c>
      <c r="K244" s="71"/>
    </row>
    <row r="245" spans="1:11" ht="21.95" customHeight="1" x14ac:dyDescent="0.25">
      <c r="A245" s="20" t="s">
        <v>38</v>
      </c>
      <c r="B245" s="21" t="str">
        <f t="shared" ca="1" si="51"/>
        <v/>
      </c>
      <c r="C245" s="22"/>
      <c r="D245" s="23"/>
      <c r="E245" s="24"/>
      <c r="F245" s="25"/>
      <c r="G245" s="26"/>
      <c r="H245" s="27"/>
      <c r="I245" s="28" t="str">
        <f t="shared" si="50"/>
        <v>N/A</v>
      </c>
      <c r="J245" s="72" t="str">
        <f t="shared" si="52"/>
        <v>N/A</v>
      </c>
      <c r="K245" s="71"/>
    </row>
    <row r="246" spans="1:11" ht="21.95" customHeight="1" x14ac:dyDescent="0.25">
      <c r="A246" s="20" t="s">
        <v>1</v>
      </c>
      <c r="B246" s="21" t="str">
        <f t="shared" ref="B246:B266" ca="1" si="53">IF(H246&lt;&gt;"",IF(B246="",NOW(),B246),"")</f>
        <v/>
      </c>
      <c r="C246" s="22"/>
      <c r="D246" s="23"/>
      <c r="E246" s="24"/>
      <c r="F246" s="25"/>
      <c r="G246" s="26"/>
      <c r="H246" s="27"/>
      <c r="I246" s="28" t="str">
        <f t="shared" si="50"/>
        <v>N/A</v>
      </c>
      <c r="J246" s="56" t="str">
        <f t="shared" ref="J246" si="54">IF(I246="N/A","N/A",I246-E246)</f>
        <v>N/A</v>
      </c>
      <c r="K246" s="70"/>
    </row>
    <row r="247" spans="1:11" ht="21.95" customHeight="1" x14ac:dyDescent="0.25">
      <c r="A247" s="20" t="s">
        <v>9</v>
      </c>
      <c r="B247" s="21" t="str">
        <f t="shared" ca="1" si="53"/>
        <v/>
      </c>
      <c r="C247" s="22"/>
      <c r="D247" s="23"/>
      <c r="E247" s="24"/>
      <c r="F247" s="25"/>
      <c r="G247" s="26"/>
      <c r="H247" s="27"/>
      <c r="I247" s="28" t="str">
        <f t="shared" si="50"/>
        <v>N/A</v>
      </c>
      <c r="J247" s="56" t="str">
        <f>IF(I247="N/A","N/A",I247-E247)</f>
        <v>N/A</v>
      </c>
      <c r="K247" s="70"/>
    </row>
    <row r="248" spans="1:11" ht="21.95" customHeight="1" x14ac:dyDescent="0.25">
      <c r="A248" s="20" t="s">
        <v>10</v>
      </c>
      <c r="B248" s="21" t="str">
        <f t="shared" ca="1" si="53"/>
        <v/>
      </c>
      <c r="C248" s="22"/>
      <c r="D248" s="23"/>
      <c r="E248" s="24"/>
      <c r="F248" s="25"/>
      <c r="G248" s="26"/>
      <c r="H248" s="27"/>
      <c r="I248" s="28" t="str">
        <f t="shared" si="50"/>
        <v>N/A</v>
      </c>
      <c r="J248" s="56" t="str">
        <f t="shared" ref="J248:J255" si="55">IF(I248="N/A","N/A",I248-E248)</f>
        <v>N/A</v>
      </c>
      <c r="K248" s="70"/>
    </row>
    <row r="249" spans="1:11" ht="21.95" customHeight="1" x14ac:dyDescent="0.25">
      <c r="A249" s="20" t="s">
        <v>11</v>
      </c>
      <c r="B249" s="21" t="str">
        <f t="shared" ca="1" si="53"/>
        <v/>
      </c>
      <c r="C249" s="22"/>
      <c r="D249" s="23"/>
      <c r="E249" s="24"/>
      <c r="F249" s="25"/>
      <c r="G249" s="26"/>
      <c r="H249" s="27"/>
      <c r="I249" s="28" t="str">
        <f t="shared" si="50"/>
        <v>N/A</v>
      </c>
      <c r="J249" s="56" t="str">
        <f t="shared" si="55"/>
        <v>N/A</v>
      </c>
      <c r="K249" s="70"/>
    </row>
    <row r="250" spans="1:11" ht="21.95" customHeight="1" x14ac:dyDescent="0.25">
      <c r="A250" s="20" t="s">
        <v>12</v>
      </c>
      <c r="B250" s="21" t="str">
        <f t="shared" ca="1" si="53"/>
        <v/>
      </c>
      <c r="C250" s="22"/>
      <c r="D250" s="23"/>
      <c r="E250" s="24"/>
      <c r="F250" s="25"/>
      <c r="G250" s="26"/>
      <c r="H250" s="27"/>
      <c r="I250" s="28" t="str">
        <f t="shared" si="50"/>
        <v>N/A</v>
      </c>
      <c r="J250" s="56" t="str">
        <f t="shared" si="55"/>
        <v>N/A</v>
      </c>
      <c r="K250" s="70"/>
    </row>
    <row r="251" spans="1:11" ht="21.95" customHeight="1" x14ac:dyDescent="0.25">
      <c r="A251" s="20" t="s">
        <v>13</v>
      </c>
      <c r="B251" s="21" t="str">
        <f t="shared" ca="1" si="53"/>
        <v/>
      </c>
      <c r="C251" s="22"/>
      <c r="D251" s="23"/>
      <c r="E251" s="24"/>
      <c r="F251" s="25"/>
      <c r="G251" s="26"/>
      <c r="H251" s="27"/>
      <c r="I251" s="28" t="str">
        <f t="shared" si="50"/>
        <v>N/A</v>
      </c>
      <c r="J251" s="56" t="str">
        <f t="shared" si="55"/>
        <v>N/A</v>
      </c>
      <c r="K251" s="70"/>
    </row>
    <row r="252" spans="1:11" ht="21.95" customHeight="1" x14ac:dyDescent="0.25">
      <c r="A252" s="20" t="s">
        <v>14</v>
      </c>
      <c r="B252" s="21" t="str">
        <f t="shared" ca="1" si="53"/>
        <v/>
      </c>
      <c r="C252" s="22"/>
      <c r="D252" s="23"/>
      <c r="E252" s="24"/>
      <c r="F252" s="25"/>
      <c r="G252" s="26"/>
      <c r="H252" s="27"/>
      <c r="I252" s="28" t="str">
        <f t="shared" si="50"/>
        <v>N/A</v>
      </c>
      <c r="J252" s="56" t="str">
        <f t="shared" si="55"/>
        <v>N/A</v>
      </c>
      <c r="K252" s="70"/>
    </row>
    <row r="253" spans="1:11" ht="21.95" customHeight="1" x14ac:dyDescent="0.25">
      <c r="A253" s="20" t="s">
        <v>15</v>
      </c>
      <c r="B253" s="21" t="str">
        <f t="shared" ca="1" si="53"/>
        <v/>
      </c>
      <c r="C253" s="22"/>
      <c r="D253" s="23"/>
      <c r="E253" s="24"/>
      <c r="F253" s="25"/>
      <c r="G253" s="26"/>
      <c r="H253" s="27"/>
      <c r="I253" s="28" t="str">
        <f>IF(F253+G253+H253=0,("N/A"),SUM(F253,G253,H253)/3)</f>
        <v>N/A</v>
      </c>
      <c r="J253" s="56" t="str">
        <f t="shared" si="55"/>
        <v>N/A</v>
      </c>
      <c r="K253" s="84"/>
    </row>
    <row r="254" spans="1:11" ht="21.95" customHeight="1" x14ac:dyDescent="0.25">
      <c r="A254" s="30" t="s">
        <v>16</v>
      </c>
      <c r="B254" s="21" t="str">
        <f t="shared" ca="1" si="53"/>
        <v/>
      </c>
      <c r="C254" s="22"/>
      <c r="D254" s="23"/>
      <c r="E254" s="24"/>
      <c r="F254" s="25"/>
      <c r="G254" s="26"/>
      <c r="H254" s="27"/>
      <c r="I254" s="28" t="str">
        <f>IF(F254+G254+H254=0,("N/A"),SUM(F254,G254,H254)/3)</f>
        <v>N/A</v>
      </c>
      <c r="J254" s="56" t="str">
        <f t="shared" si="55"/>
        <v>N/A</v>
      </c>
      <c r="K254" s="85"/>
    </row>
    <row r="255" spans="1:11" ht="21.95" customHeight="1" x14ac:dyDescent="0.25">
      <c r="A255" s="31" t="s">
        <v>39</v>
      </c>
      <c r="B255" s="21" t="str">
        <f t="shared" ca="1" si="53"/>
        <v/>
      </c>
      <c r="C255" s="22"/>
      <c r="D255" s="23"/>
      <c r="E255" s="24"/>
      <c r="F255" s="67"/>
      <c r="G255" s="68"/>
      <c r="H255" s="27"/>
      <c r="I255" s="28" t="str">
        <f>IF(F255+G255+H255=0,("N/A"),SUM(F255,G255,H255)/3)</f>
        <v>N/A</v>
      </c>
      <c r="J255" s="56" t="str">
        <f t="shared" si="55"/>
        <v>N/A</v>
      </c>
      <c r="K255" s="70"/>
    </row>
    <row r="256" spans="1:11" ht="21.95" customHeight="1" x14ac:dyDescent="0.25">
      <c r="A256" s="31" t="s">
        <v>19</v>
      </c>
      <c r="B256" s="21" t="str">
        <f t="shared" ca="1" si="53"/>
        <v/>
      </c>
      <c r="C256" s="22"/>
      <c r="D256" s="23"/>
      <c r="E256" s="24"/>
      <c r="F256" s="25"/>
      <c r="G256" s="26"/>
      <c r="H256" s="27"/>
      <c r="I256" s="28" t="str">
        <f t="shared" ref="I256:I266" si="56">IF(F256+G256+H256=0,("N/A"),SUM(F256,G256,H256)/3)</f>
        <v>N/A</v>
      </c>
      <c r="J256" s="56" t="str">
        <f>IF(I256="N/A","N/A",I256-E256)</f>
        <v>N/A</v>
      </c>
      <c r="K256" s="70"/>
    </row>
    <row r="257" spans="1:11" ht="21.95" customHeight="1" x14ac:dyDescent="0.25">
      <c r="A257" s="31" t="s">
        <v>20</v>
      </c>
      <c r="B257" s="21" t="str">
        <f t="shared" ca="1" si="53"/>
        <v/>
      </c>
      <c r="C257" s="22"/>
      <c r="D257" s="23"/>
      <c r="E257" s="69"/>
      <c r="F257" s="25"/>
      <c r="G257" s="26"/>
      <c r="H257" s="27"/>
      <c r="I257" s="28" t="str">
        <f t="shared" si="56"/>
        <v>N/A</v>
      </c>
      <c r="J257" s="56" t="str">
        <f t="shared" ref="J257:J266" si="57">IF(I257="N/A","N/A",I257-E257)</f>
        <v>N/A</v>
      </c>
      <c r="K257" s="70"/>
    </row>
    <row r="258" spans="1:11" ht="21.95" customHeight="1" x14ac:dyDescent="0.25">
      <c r="A258" s="31" t="s">
        <v>21</v>
      </c>
      <c r="B258" s="21" t="str">
        <f t="shared" ca="1" si="53"/>
        <v/>
      </c>
      <c r="C258" s="22"/>
      <c r="D258" s="23"/>
      <c r="E258" s="24"/>
      <c r="F258" s="25"/>
      <c r="G258" s="26"/>
      <c r="H258" s="27"/>
      <c r="I258" s="28" t="str">
        <f t="shared" si="56"/>
        <v>N/A</v>
      </c>
      <c r="J258" s="56" t="str">
        <f t="shared" si="57"/>
        <v>N/A</v>
      </c>
      <c r="K258" s="70"/>
    </row>
    <row r="259" spans="1:11" ht="21.95" customHeight="1" x14ac:dyDescent="0.3">
      <c r="A259" s="31" t="s">
        <v>2</v>
      </c>
      <c r="B259" s="21" t="str">
        <f t="shared" ca="1" si="53"/>
        <v/>
      </c>
      <c r="C259" s="22"/>
      <c r="D259" s="45"/>
      <c r="E259" s="24"/>
      <c r="F259" s="25"/>
      <c r="G259" s="26"/>
      <c r="H259" s="27"/>
      <c r="I259" s="28" t="str">
        <f t="shared" si="56"/>
        <v>N/A</v>
      </c>
      <c r="J259" s="56" t="str">
        <f t="shared" si="57"/>
        <v>N/A</v>
      </c>
      <c r="K259" s="70"/>
    </row>
    <row r="260" spans="1:11" ht="21.95" customHeight="1" x14ac:dyDescent="0.25">
      <c r="A260" s="31" t="s">
        <v>22</v>
      </c>
      <c r="B260" s="21" t="str">
        <f t="shared" ca="1" si="53"/>
        <v/>
      </c>
      <c r="C260" s="22"/>
      <c r="D260" s="23"/>
      <c r="E260" s="24"/>
      <c r="F260" s="25"/>
      <c r="G260" s="26"/>
      <c r="H260" s="27"/>
      <c r="I260" s="28" t="str">
        <f t="shared" si="56"/>
        <v>N/A</v>
      </c>
      <c r="J260" s="56" t="str">
        <f t="shared" si="57"/>
        <v>N/A</v>
      </c>
      <c r="K260" s="70"/>
    </row>
    <row r="261" spans="1:11" ht="21.95" customHeight="1" x14ac:dyDescent="0.3">
      <c r="A261" s="31" t="s">
        <v>23</v>
      </c>
      <c r="B261" s="21" t="str">
        <f t="shared" ca="1" si="53"/>
        <v/>
      </c>
      <c r="C261" s="22"/>
      <c r="D261" s="45"/>
      <c r="E261" s="24"/>
      <c r="F261" s="25"/>
      <c r="G261" s="26"/>
      <c r="H261" s="27"/>
      <c r="I261" s="28" t="str">
        <f t="shared" si="56"/>
        <v>N/A</v>
      </c>
      <c r="J261" s="56" t="str">
        <f t="shared" si="57"/>
        <v>N/A</v>
      </c>
      <c r="K261" s="70"/>
    </row>
    <row r="262" spans="1:11" ht="21.95" customHeight="1" x14ac:dyDescent="0.3">
      <c r="A262" s="31" t="s">
        <v>24</v>
      </c>
      <c r="B262" s="21" t="str">
        <f t="shared" ca="1" si="53"/>
        <v/>
      </c>
      <c r="C262" s="22"/>
      <c r="D262" s="45"/>
      <c r="E262" s="24"/>
      <c r="F262" s="25"/>
      <c r="G262" s="26"/>
      <c r="H262" s="27"/>
      <c r="I262" s="28" t="str">
        <f t="shared" si="56"/>
        <v>N/A</v>
      </c>
      <c r="J262" s="56" t="str">
        <f t="shared" si="57"/>
        <v>N/A</v>
      </c>
      <c r="K262" s="70"/>
    </row>
    <row r="263" spans="1:11" ht="21.95" customHeight="1" x14ac:dyDescent="0.3">
      <c r="A263" s="31" t="s">
        <v>25</v>
      </c>
      <c r="B263" s="21" t="str">
        <f t="shared" ca="1" si="53"/>
        <v/>
      </c>
      <c r="C263" s="22"/>
      <c r="D263" s="45"/>
      <c r="E263" s="24"/>
      <c r="F263" s="25"/>
      <c r="G263" s="26"/>
      <c r="H263" s="27"/>
      <c r="I263" s="28" t="str">
        <f t="shared" si="56"/>
        <v>N/A</v>
      </c>
      <c r="J263" s="56" t="str">
        <f t="shared" si="57"/>
        <v>N/A</v>
      </c>
      <c r="K263" s="70"/>
    </row>
    <row r="264" spans="1:11" ht="21.95" customHeight="1" x14ac:dyDescent="0.3">
      <c r="A264" s="87" t="s">
        <v>77</v>
      </c>
      <c r="B264" s="21" t="str">
        <f t="shared" ca="1" si="53"/>
        <v/>
      </c>
      <c r="C264" s="22"/>
      <c r="D264" s="45"/>
      <c r="E264" s="24"/>
      <c r="F264" s="25"/>
      <c r="G264" s="26"/>
      <c r="H264" s="27"/>
      <c r="I264" s="28" t="str">
        <f t="shared" si="56"/>
        <v>N/A</v>
      </c>
      <c r="J264" s="56" t="str">
        <f t="shared" si="57"/>
        <v>N/A</v>
      </c>
      <c r="K264" s="84"/>
    </row>
    <row r="265" spans="1:11" ht="21.95" customHeight="1" x14ac:dyDescent="0.3">
      <c r="A265" s="87" t="s">
        <v>86</v>
      </c>
      <c r="B265" s="21" t="str">
        <f t="shared" ca="1" si="53"/>
        <v/>
      </c>
      <c r="C265" s="22"/>
      <c r="D265" s="45"/>
      <c r="E265" s="24"/>
      <c r="F265" s="25"/>
      <c r="G265" s="26"/>
      <c r="H265" s="27"/>
      <c r="I265" s="28" t="str">
        <f t="shared" si="56"/>
        <v>N/A</v>
      </c>
      <c r="J265" s="56" t="str">
        <f t="shared" si="57"/>
        <v>N/A</v>
      </c>
      <c r="K265" s="84"/>
    </row>
    <row r="266" spans="1:11" ht="21.95" customHeight="1" thickBot="1" x14ac:dyDescent="0.35">
      <c r="A266" s="33" t="s">
        <v>87</v>
      </c>
      <c r="B266" s="21" t="str">
        <f t="shared" ca="1" si="53"/>
        <v/>
      </c>
      <c r="C266" s="22"/>
      <c r="D266" s="45"/>
      <c r="E266" s="24"/>
      <c r="F266" s="25"/>
      <c r="G266" s="26"/>
      <c r="H266" s="27"/>
      <c r="I266" s="28" t="str">
        <f t="shared" si="56"/>
        <v>N/A</v>
      </c>
      <c r="J266" s="56" t="str">
        <f t="shared" si="57"/>
        <v>N/A</v>
      </c>
      <c r="K266" s="84"/>
    </row>
    <row r="267" spans="1:11" ht="18" customHeight="1" x14ac:dyDescent="0.25">
      <c r="A267" s="146" t="s">
        <v>27</v>
      </c>
      <c r="B267" s="146"/>
      <c r="C267" s="146"/>
      <c r="D267" s="146"/>
      <c r="E267" s="147"/>
      <c r="F267" s="51" t="str">
        <f>IF(COUNT(J243:J253),AVERAGE(J243:J253),"N/A")</f>
        <v>N/A</v>
      </c>
      <c r="G267" s="65"/>
      <c r="H267" s="58"/>
      <c r="I267" s="58"/>
      <c r="K267" s="86"/>
    </row>
    <row r="268" spans="1:11" ht="18" customHeight="1" x14ac:dyDescent="0.25">
      <c r="A268" s="36"/>
      <c r="B268" s="35"/>
      <c r="D268" s="36"/>
      <c r="E268" s="37"/>
      <c r="F268" s="52"/>
      <c r="G268" s="62"/>
      <c r="H268" s="62"/>
      <c r="I268" s="62"/>
      <c r="K268" s="55"/>
    </row>
    <row r="269" spans="1:11" ht="18" customHeight="1" x14ac:dyDescent="0.25">
      <c r="A269" s="107" t="s">
        <v>28</v>
      </c>
      <c r="B269" s="107"/>
      <c r="C269" s="107"/>
      <c r="D269" s="107"/>
      <c r="E269" s="108"/>
      <c r="F269" s="51" t="str">
        <f>IF(COUNT(J254:J266),AVERAGE(J254:J266),"N/A")</f>
        <v>N/A</v>
      </c>
      <c r="G269" s="66"/>
      <c r="H269" s="58"/>
      <c r="I269" s="58"/>
      <c r="K269" s="55"/>
    </row>
    <row r="270" spans="1:11" ht="18" customHeight="1" x14ac:dyDescent="0.25">
      <c r="A270" s="37"/>
      <c r="B270" s="40"/>
      <c r="D270" s="37"/>
      <c r="E270" s="37"/>
      <c r="F270" s="52"/>
      <c r="G270" s="62"/>
      <c r="H270" s="62"/>
      <c r="I270" s="62"/>
      <c r="K270" s="55"/>
    </row>
    <row r="271" spans="1:11" ht="18" customHeight="1" x14ac:dyDescent="0.25">
      <c r="A271" s="107" t="s">
        <v>29</v>
      </c>
      <c r="B271" s="107"/>
      <c r="C271" s="107"/>
      <c r="D271" s="107"/>
      <c r="E271" s="108"/>
      <c r="F271" s="59" t="str">
        <f>IF(COUNT(J243:J266),AVERAGE(J243:J266),"N/A")</f>
        <v>N/A</v>
      </c>
      <c r="G271" s="58"/>
      <c r="H271" s="58"/>
      <c r="I271" s="58"/>
      <c r="K271" s="55"/>
    </row>
    <row r="272" spans="1:11" ht="18" customHeight="1" x14ac:dyDescent="0.25">
      <c r="A272" s="39"/>
      <c r="B272" s="40"/>
      <c r="C272" s="62"/>
      <c r="D272" s="62"/>
      <c r="E272" s="62"/>
      <c r="F272" s="62"/>
      <c r="G272" s="62"/>
      <c r="H272" s="62"/>
      <c r="I272" s="62"/>
      <c r="J272" s="62"/>
      <c r="K272" s="55"/>
    </row>
    <row r="273" spans="1:11" ht="18" customHeight="1" thickBot="1" x14ac:dyDescent="0.25">
      <c r="A273" s="41"/>
      <c r="B273" s="42"/>
      <c r="C273" s="42"/>
      <c r="D273" s="42"/>
      <c r="E273" s="43"/>
      <c r="F273" s="43"/>
      <c r="G273" s="43"/>
      <c r="H273" s="43"/>
      <c r="I273" s="43"/>
      <c r="J273" s="43"/>
      <c r="K273" s="44"/>
    </row>
    <row r="274" spans="1:11" ht="13.5" thickTop="1" x14ac:dyDescent="0.2"/>
  </sheetData>
  <sheetProtection password="D7AD" sheet="1" objects="1" scenarios="1"/>
  <protectedRanges>
    <protectedRange sqref="K243:K266 K48:K71 K87:K110 K126:K149 K165:K188 K204:K227 K9:K32" name="Comments"/>
    <protectedRange sqref="C1:E1 C243:H266 C40:E40 C48:H71 C79:E79 C87:H110 C118:E118 C126:H149 C157:E157 C165:H188 C196:E196 C204:H227 C235:E235 C9:H32" name="Editable Area"/>
  </protectedRanges>
  <mergeCells count="133">
    <mergeCell ref="C1:E1"/>
    <mergeCell ref="F1:G1"/>
    <mergeCell ref="A3:D5"/>
    <mergeCell ref="E3:J5"/>
    <mergeCell ref="A6:A8"/>
    <mergeCell ref="B6:B8"/>
    <mergeCell ref="C6:C8"/>
    <mergeCell ref="D6:D8"/>
    <mergeCell ref="E6:E8"/>
    <mergeCell ref="F6:F8"/>
    <mergeCell ref="C79:E79"/>
    <mergeCell ref="F79:G79"/>
    <mergeCell ref="A81:D83"/>
    <mergeCell ref="E81:J83"/>
    <mergeCell ref="F45:F47"/>
    <mergeCell ref="G45:G47"/>
    <mergeCell ref="H45:H47"/>
    <mergeCell ref="I45:I47"/>
    <mergeCell ref="J45:J47"/>
    <mergeCell ref="A76:E76"/>
    <mergeCell ref="A45:A47"/>
    <mergeCell ref="B45:B47"/>
    <mergeCell ref="C45:C47"/>
    <mergeCell ref="D45:D47"/>
    <mergeCell ref="E45:E47"/>
    <mergeCell ref="C157:E157"/>
    <mergeCell ref="F157:G157"/>
    <mergeCell ref="A159:D161"/>
    <mergeCell ref="E159:J161"/>
    <mergeCell ref="F123:F125"/>
    <mergeCell ref="G123:G125"/>
    <mergeCell ref="H123:H125"/>
    <mergeCell ref="I123:I125"/>
    <mergeCell ref="J123:J125"/>
    <mergeCell ref="A154:E154"/>
    <mergeCell ref="A123:A125"/>
    <mergeCell ref="B123:B125"/>
    <mergeCell ref="C123:C125"/>
    <mergeCell ref="D123:D125"/>
    <mergeCell ref="E123:E125"/>
    <mergeCell ref="G162:G164"/>
    <mergeCell ref="H162:H164"/>
    <mergeCell ref="I162:I164"/>
    <mergeCell ref="J162:J164"/>
    <mergeCell ref="A162:A164"/>
    <mergeCell ref="B162:B164"/>
    <mergeCell ref="C162:C164"/>
    <mergeCell ref="D162:D164"/>
    <mergeCell ref="E162:E164"/>
    <mergeCell ref="F162:F164"/>
    <mergeCell ref="C196:E196"/>
    <mergeCell ref="F196:G196"/>
    <mergeCell ref="A198:D200"/>
    <mergeCell ref="E198:J200"/>
    <mergeCell ref="A201:A203"/>
    <mergeCell ref="B201:B203"/>
    <mergeCell ref="C201:C203"/>
    <mergeCell ref="D201:D203"/>
    <mergeCell ref="E201:E203"/>
    <mergeCell ref="C235:E235"/>
    <mergeCell ref="F235:G235"/>
    <mergeCell ref="A237:D239"/>
    <mergeCell ref="E237:J239"/>
    <mergeCell ref="F201:F203"/>
    <mergeCell ref="G201:G203"/>
    <mergeCell ref="H201:H203"/>
    <mergeCell ref="I201:I203"/>
    <mergeCell ref="J201:J203"/>
    <mergeCell ref="A232:E232"/>
    <mergeCell ref="K3:K5"/>
    <mergeCell ref="K6:K8"/>
    <mergeCell ref="A33:E33"/>
    <mergeCell ref="A35:E35"/>
    <mergeCell ref="A37:E37"/>
    <mergeCell ref="K42:K44"/>
    <mergeCell ref="K45:K47"/>
    <mergeCell ref="A72:E72"/>
    <mergeCell ref="A74:E74"/>
    <mergeCell ref="C40:E40"/>
    <mergeCell ref="F40:G40"/>
    <mergeCell ref="A42:D44"/>
    <mergeCell ref="E42:J44"/>
    <mergeCell ref="G6:G8"/>
    <mergeCell ref="H6:H8"/>
    <mergeCell ref="I6:I8"/>
    <mergeCell ref="J6:J8"/>
    <mergeCell ref="K81:K83"/>
    <mergeCell ref="K84:K86"/>
    <mergeCell ref="A111:E111"/>
    <mergeCell ref="A113:E113"/>
    <mergeCell ref="A115:E115"/>
    <mergeCell ref="K120:K122"/>
    <mergeCell ref="K123:K125"/>
    <mergeCell ref="A150:E150"/>
    <mergeCell ref="A152:E152"/>
    <mergeCell ref="C118:E118"/>
    <mergeCell ref="F118:G118"/>
    <mergeCell ref="A120:D122"/>
    <mergeCell ref="E120:J122"/>
    <mergeCell ref="G84:G86"/>
    <mergeCell ref="H84:H86"/>
    <mergeCell ref="I84:I86"/>
    <mergeCell ref="J84:J86"/>
    <mergeCell ref="A84:A86"/>
    <mergeCell ref="B84:B86"/>
    <mergeCell ref="C84:C86"/>
    <mergeCell ref="D84:D86"/>
    <mergeCell ref="E84:E86"/>
    <mergeCell ref="F84:F86"/>
    <mergeCell ref="K237:K239"/>
    <mergeCell ref="K240:K242"/>
    <mergeCell ref="A267:E267"/>
    <mergeCell ref="A269:E269"/>
    <mergeCell ref="A271:E271"/>
    <mergeCell ref="K159:K161"/>
    <mergeCell ref="K162:K164"/>
    <mergeCell ref="A189:E189"/>
    <mergeCell ref="A191:E191"/>
    <mergeCell ref="A193:E193"/>
    <mergeCell ref="K198:K200"/>
    <mergeCell ref="K201:K203"/>
    <mergeCell ref="A228:E228"/>
    <mergeCell ref="A230:E230"/>
    <mergeCell ref="G240:G242"/>
    <mergeCell ref="H240:H242"/>
    <mergeCell ref="I240:I242"/>
    <mergeCell ref="J240:J242"/>
    <mergeCell ref="A240:A242"/>
    <mergeCell ref="B240:B242"/>
    <mergeCell ref="C240:C242"/>
    <mergeCell ref="D240:D242"/>
    <mergeCell ref="E240:E242"/>
    <mergeCell ref="F240:F242"/>
  </mergeCells>
  <conditionalFormatting sqref="F9:F32">
    <cfRule type="expression" dxfId="179" priority="90">
      <formula>IF(NOT(ISBLANK($F9)),$E9&gt;$F9,FALSE)</formula>
    </cfRule>
  </conditionalFormatting>
  <conditionalFormatting sqref="G9:G32">
    <cfRule type="expression" dxfId="178" priority="89">
      <formula>IF(NOT(ISBLANK($G9)),$E9&gt;$G9,FALSE)</formula>
    </cfRule>
  </conditionalFormatting>
  <conditionalFormatting sqref="H9:H32">
    <cfRule type="expression" dxfId="177" priority="88">
      <formula>IF(NOT(ISBLANK($H9)),$E9&gt;$H9,FALSE)</formula>
    </cfRule>
  </conditionalFormatting>
  <conditionalFormatting sqref="I9:I32">
    <cfRule type="expression" dxfId="176" priority="87">
      <formula>IF(NOT(ISBLANK($I9)),$E9&gt;$I9,FALSE)</formula>
    </cfRule>
  </conditionalFormatting>
  <conditionalFormatting sqref="J9:J32">
    <cfRule type="expression" dxfId="175" priority="86">
      <formula>IF($J9&lt;&gt;"N/A",OR($J9&lt;0,$J9&gt;10),FALSE)</formula>
    </cfRule>
  </conditionalFormatting>
  <conditionalFormatting sqref="J243:J266">
    <cfRule type="expression" dxfId="174" priority="31">
      <formula>IF($J243&lt;&gt;"N/A",OR($J243&lt;0,$J243&gt;10),FALSE)</formula>
    </cfRule>
  </conditionalFormatting>
  <conditionalFormatting sqref="F243:F266">
    <cfRule type="expression" dxfId="173" priority="35">
      <formula>IF(NOT(ISBLANK($F243)),$E243&gt;$F243,FALSE)</formula>
    </cfRule>
  </conditionalFormatting>
  <conditionalFormatting sqref="G243:G266">
    <cfRule type="expression" dxfId="172" priority="34">
      <formula>IF(NOT(ISBLANK($G243)),$E243&gt;$G243,FALSE)</formula>
    </cfRule>
  </conditionalFormatting>
  <conditionalFormatting sqref="H243:H266">
    <cfRule type="expression" dxfId="171" priority="33">
      <formula>IF(NOT(ISBLANK($H243)),$E243&gt;$H243,FALSE)</formula>
    </cfRule>
  </conditionalFormatting>
  <conditionalFormatting sqref="I243:I266">
    <cfRule type="expression" dxfId="170" priority="32">
      <formula>IF(NOT(ISBLANK($I243)),$E243&gt;$I243,FALSE)</formula>
    </cfRule>
  </conditionalFormatting>
  <conditionalFormatting sqref="F48:F71">
    <cfRule type="expression" dxfId="169" priority="30">
      <formula>IF(NOT(ISBLANK($F48)),$E48&gt;$F48,FALSE)</formula>
    </cfRule>
  </conditionalFormatting>
  <conditionalFormatting sqref="G48:G71">
    <cfRule type="expression" dxfId="168" priority="29">
      <formula>IF(NOT(ISBLANK($G48)),$E48&gt;$G48,FALSE)</formula>
    </cfRule>
  </conditionalFormatting>
  <conditionalFormatting sqref="H48:H71">
    <cfRule type="expression" dxfId="167" priority="28">
      <formula>IF(NOT(ISBLANK($H48)),$E48&gt;$H48,FALSE)</formula>
    </cfRule>
  </conditionalFormatting>
  <conditionalFormatting sqref="I48:I71">
    <cfRule type="expression" dxfId="166" priority="27">
      <formula>IF(NOT(ISBLANK($I48)),$E48&gt;$I48,FALSE)</formula>
    </cfRule>
  </conditionalFormatting>
  <conditionalFormatting sqref="J48:J71">
    <cfRule type="expression" dxfId="165" priority="26">
      <formula>IF($J48&lt;&gt;"N/A",OR($J48&lt;0,$J48&gt;10),FALSE)</formula>
    </cfRule>
  </conditionalFormatting>
  <conditionalFormatting sqref="F126:F149">
    <cfRule type="expression" dxfId="164" priority="20">
      <formula>IF(NOT(ISBLANK($F126)),$E126&gt;$F126,FALSE)</formula>
    </cfRule>
  </conditionalFormatting>
  <conditionalFormatting sqref="G126:G149">
    <cfRule type="expression" dxfId="163" priority="19">
      <formula>IF(NOT(ISBLANK($G126)),$E126&gt;$G126,FALSE)</formula>
    </cfRule>
  </conditionalFormatting>
  <conditionalFormatting sqref="H126:H149">
    <cfRule type="expression" dxfId="162" priority="18">
      <formula>IF(NOT(ISBLANK($H126)),$E126&gt;$H126,FALSE)</formula>
    </cfRule>
  </conditionalFormatting>
  <conditionalFormatting sqref="I126:I149">
    <cfRule type="expression" dxfId="161" priority="17">
      <formula>IF(NOT(ISBLANK($I126)),$E126&gt;$I126,FALSE)</formula>
    </cfRule>
  </conditionalFormatting>
  <conditionalFormatting sqref="J126:J149">
    <cfRule type="expression" dxfId="160" priority="16">
      <formula>IF($J126&lt;&gt;"N/A",OR($J126&lt;0,$J126&gt;10),FALSE)</formula>
    </cfRule>
  </conditionalFormatting>
  <conditionalFormatting sqref="F165:F188">
    <cfRule type="expression" dxfId="159" priority="15">
      <formula>IF(NOT(ISBLANK($F165)),$E165&gt;$F165,FALSE)</formula>
    </cfRule>
  </conditionalFormatting>
  <conditionalFormatting sqref="G165:G188">
    <cfRule type="expression" dxfId="158" priority="14">
      <formula>IF(NOT(ISBLANK($G165)),$E165&gt;$G165,FALSE)</formula>
    </cfRule>
  </conditionalFormatting>
  <conditionalFormatting sqref="H165:H188">
    <cfRule type="expression" dxfId="157" priority="13">
      <formula>IF(NOT(ISBLANK($H165)),$E165&gt;$H165,FALSE)</formula>
    </cfRule>
  </conditionalFormatting>
  <conditionalFormatting sqref="I165:I188">
    <cfRule type="expression" dxfId="156" priority="12">
      <formula>IF(NOT(ISBLANK($I165)),$E165&gt;$I165,FALSE)</formula>
    </cfRule>
  </conditionalFormatting>
  <conditionalFormatting sqref="J165:J188">
    <cfRule type="expression" dxfId="155" priority="11">
      <formula>IF($J165&lt;&gt;"N/A",OR($J165&lt;0,$J165&gt;10),FALSE)</formula>
    </cfRule>
  </conditionalFormatting>
  <conditionalFormatting sqref="F204:F227">
    <cfRule type="expression" dxfId="154" priority="10">
      <formula>IF(NOT(ISBLANK($F204)),$E204&gt;$F204,FALSE)</formula>
    </cfRule>
  </conditionalFormatting>
  <conditionalFormatting sqref="G204:G227">
    <cfRule type="expression" dxfId="153" priority="9">
      <formula>IF(NOT(ISBLANK($G204)),$E204&gt;$G204,FALSE)</formula>
    </cfRule>
  </conditionalFormatting>
  <conditionalFormatting sqref="H204:H227">
    <cfRule type="expression" dxfId="152" priority="8">
      <formula>IF(NOT(ISBLANK($H204)),$E204&gt;$H204,FALSE)</formula>
    </cfRule>
  </conditionalFormatting>
  <conditionalFormatting sqref="I204:I227">
    <cfRule type="expression" dxfId="151" priority="7">
      <formula>IF(NOT(ISBLANK($I204)),$E204&gt;$I204,FALSE)</formula>
    </cfRule>
  </conditionalFormatting>
  <conditionalFormatting sqref="J204:J227">
    <cfRule type="expression" dxfId="150" priority="6">
      <formula>IF($J204&lt;&gt;"N/A",OR($J204&lt;0,$J204&gt;10),FALSE)</formula>
    </cfRule>
  </conditionalFormatting>
  <conditionalFormatting sqref="F87:F110">
    <cfRule type="expression" dxfId="149" priority="5">
      <formula>IF(NOT(ISBLANK($F87)),$E87&gt;$F87,FALSE)</formula>
    </cfRule>
  </conditionalFormatting>
  <conditionalFormatting sqref="G87:G110">
    <cfRule type="expression" dxfId="148" priority="4">
      <formula>IF(NOT(ISBLANK($G87)),$E87&gt;$G87,FALSE)</formula>
    </cfRule>
  </conditionalFormatting>
  <conditionalFormatting sqref="H87:H110">
    <cfRule type="expression" dxfId="147" priority="3">
      <formula>IF(NOT(ISBLANK($H87)),$E87&gt;$H87,FALSE)</formula>
    </cfRule>
  </conditionalFormatting>
  <conditionalFormatting sqref="I87:I110">
    <cfRule type="expression" dxfId="146" priority="2">
      <formula>IF(NOT(ISBLANK($I87)),$E87&gt;$I87,FALSE)</formula>
    </cfRule>
  </conditionalFormatting>
  <conditionalFormatting sqref="J87:J110">
    <cfRule type="expression" dxfId="145" priority="1">
      <formula>IF($J87&lt;&gt;"N/A",OR($J87&lt;0,$J87&gt;10),FALSE)</formula>
    </cfRule>
  </conditionalFormatting>
  <dataValidations count="2">
    <dataValidation type="decimal" operator="greaterThan" allowBlank="1" showErrorMessage="1" errorTitle="Invalid Weight Entry" error="You must enter a number for the weight." sqref="E9:H32 E48:H71 E87:H110 E126:H149 E165:H188 E204:H227 E243:H266">
      <formula1>0</formula1>
    </dataValidation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8:D71 D87:D110 D126:D149 D165:D188 D204:D227 D243:D266">
      <formula1>"a"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237"/>
  <sheetViews>
    <sheetView zoomScaleNormal="100" zoomScaleSheetLayoutView="100" workbookViewId="0">
      <selection activeCell="C1" sqref="C1:E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46">
        <f ca="1">WEEKNUM(TODAY(),1)</f>
        <v>15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42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09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10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11"/>
      <c r="N8" s="53"/>
      <c r="O8" s="53"/>
    </row>
    <row r="9" spans="1:15" ht="21.95" customHeight="1" x14ac:dyDescent="0.25">
      <c r="A9" s="20" t="s">
        <v>85</v>
      </c>
      <c r="B9" s="21" t="str">
        <f t="shared" ref="B9:B31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71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72" t="str">
        <f t="shared" si="2"/>
        <v>N/A</v>
      </c>
      <c r="K12" s="71"/>
      <c r="O12" s="53"/>
    </row>
    <row r="13" spans="1:15" ht="21.95" customHeight="1" x14ac:dyDescent="0.25">
      <c r="A13" s="20" t="s">
        <v>9</v>
      </c>
      <c r="B13" s="21" t="str">
        <f t="shared" ca="1" si="0"/>
        <v/>
      </c>
      <c r="C13" s="22"/>
      <c r="D13" s="23"/>
      <c r="E13" s="24"/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70"/>
    </row>
    <row r="14" spans="1:15" ht="21.95" customHeight="1" x14ac:dyDescent="0.25">
      <c r="A14" s="20" t="s">
        <v>10</v>
      </c>
      <c r="B14" s="21" t="str">
        <f t="shared" ca="1" si="0"/>
        <v/>
      </c>
      <c r="C14" s="22"/>
      <c r="D14" s="23"/>
      <c r="E14" s="24"/>
      <c r="F14" s="25"/>
      <c r="G14" s="26"/>
      <c r="H14" s="27"/>
      <c r="I14" s="28" t="str">
        <f t="shared" si="1"/>
        <v>N/A</v>
      </c>
      <c r="J14" s="56" t="str">
        <f t="shared" ref="J14:J21" si="3">IF(I14="N/A","N/A",I14-E14)</f>
        <v>N/A</v>
      </c>
      <c r="K14" s="70"/>
    </row>
    <row r="15" spans="1:15" ht="21.95" customHeight="1" x14ac:dyDescent="0.25">
      <c r="A15" s="20" t="s">
        <v>11</v>
      </c>
      <c r="B15" s="21" t="str">
        <f t="shared" ca="1" si="0"/>
        <v/>
      </c>
      <c r="C15" s="22"/>
      <c r="D15" s="23"/>
      <c r="E15" s="24"/>
      <c r="F15" s="25"/>
      <c r="G15" s="26"/>
      <c r="H15" s="27"/>
      <c r="I15" s="28" t="str">
        <f t="shared" si="1"/>
        <v>N/A</v>
      </c>
      <c r="J15" s="56" t="str">
        <f t="shared" si="3"/>
        <v>N/A</v>
      </c>
      <c r="K15" s="70"/>
    </row>
    <row r="16" spans="1:15" ht="21.95" customHeight="1" x14ac:dyDescent="0.25">
      <c r="A16" s="20" t="s">
        <v>12</v>
      </c>
      <c r="B16" s="21" t="str">
        <f t="shared" ca="1" si="0"/>
        <v/>
      </c>
      <c r="C16" s="22"/>
      <c r="D16" s="23"/>
      <c r="E16" s="24"/>
      <c r="F16" s="25"/>
      <c r="G16" s="26"/>
      <c r="H16" s="27"/>
      <c r="I16" s="28" t="str">
        <f t="shared" si="1"/>
        <v>N/A</v>
      </c>
      <c r="J16" s="56" t="str">
        <f t="shared" si="3"/>
        <v>N/A</v>
      </c>
      <c r="K16" s="70"/>
    </row>
    <row r="17" spans="1:11" ht="21.95" customHeight="1" x14ac:dyDescent="0.25">
      <c r="A17" s="20" t="s">
        <v>13</v>
      </c>
      <c r="B17" s="21" t="str">
        <f t="shared" ca="1" si="0"/>
        <v/>
      </c>
      <c r="C17" s="22"/>
      <c r="D17" s="23"/>
      <c r="E17" s="24"/>
      <c r="F17" s="25"/>
      <c r="G17" s="26"/>
      <c r="H17" s="27"/>
      <c r="I17" s="28" t="str">
        <f t="shared" si="1"/>
        <v>N/A</v>
      </c>
      <c r="J17" s="56" t="str">
        <f t="shared" si="3"/>
        <v>N/A</v>
      </c>
      <c r="K17" s="70"/>
    </row>
    <row r="18" spans="1:11" ht="21.95" customHeight="1" x14ac:dyDescent="0.25">
      <c r="A18" s="20" t="s">
        <v>14</v>
      </c>
      <c r="B18" s="21" t="str">
        <f t="shared" ca="1" si="0"/>
        <v/>
      </c>
      <c r="C18" s="22"/>
      <c r="D18" s="23"/>
      <c r="E18" s="24"/>
      <c r="F18" s="25"/>
      <c r="G18" s="26"/>
      <c r="H18" s="27"/>
      <c r="I18" s="28" t="str">
        <f t="shared" si="1"/>
        <v>N/A</v>
      </c>
      <c r="J18" s="56" t="str">
        <f t="shared" si="3"/>
        <v>N/A</v>
      </c>
      <c r="K18" s="70"/>
    </row>
    <row r="19" spans="1:11" ht="21.95" customHeight="1" x14ac:dyDescent="0.25">
      <c r="A19" s="20" t="s">
        <v>15</v>
      </c>
      <c r="B19" s="21" t="str">
        <f t="shared" ca="1" si="0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3"/>
        <v>N/A</v>
      </c>
      <c r="K19" s="70"/>
    </row>
    <row r="20" spans="1:11" ht="21.95" customHeight="1" x14ac:dyDescent="0.25">
      <c r="A20" s="30" t="s">
        <v>16</v>
      </c>
      <c r="B20" s="21" t="str">
        <f t="shared" ca="1" si="0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si="3"/>
        <v>N/A</v>
      </c>
      <c r="K20" s="84"/>
    </row>
    <row r="21" spans="1:11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3"/>
        <v>N/A</v>
      </c>
      <c r="K21" s="85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1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1" si="5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4"/>
        <v>N/A</v>
      </c>
      <c r="J24" s="56" t="str">
        <f t="shared" si="5"/>
        <v>N/A</v>
      </c>
      <c r="K24" s="70"/>
    </row>
    <row r="25" spans="1:11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4"/>
        <v>N/A</v>
      </c>
      <c r="J25" s="56" t="str">
        <f t="shared" si="5"/>
        <v>N/A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ref="B32" ca="1" si="6">IF(H32&lt;&gt;"",IF(B32="",NOW(),B32),"")</f>
        <v/>
      </c>
      <c r="C32" s="22"/>
      <c r="D32" s="45"/>
      <c r="E32" s="24"/>
      <c r="F32" s="25"/>
      <c r="G32" s="26"/>
      <c r="H32" s="27"/>
      <c r="I32" s="28" t="str">
        <f t="shared" ref="I32" si="7">IF(F32+G32+H32=0,("N/A"),SUM(F32,G32,H32)/3)</f>
        <v>N/A</v>
      </c>
      <c r="J32" s="56" t="str">
        <f t="shared" ref="J32" si="8">IF(I32="N/A","N/A",I32-E32)</f>
        <v>N/A</v>
      </c>
      <c r="K32" s="83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 t="str">
        <f>IF(COUNT(J9:J20),AVERAGE(J9:J20),"N/A")</f>
        <v>N/A</v>
      </c>
      <c r="G33" s="58"/>
      <c r="H33" s="58"/>
      <c r="I33" s="79"/>
      <c r="K33" s="55"/>
    </row>
    <row r="34" spans="1:11" ht="18" customHeight="1" x14ac:dyDescent="0.25">
      <c r="A34" s="81"/>
      <c r="B34" s="75"/>
      <c r="C34" s="76"/>
      <c r="D34" s="74"/>
      <c r="E34" s="77"/>
      <c r="F34" s="52"/>
      <c r="G34" s="38"/>
      <c r="H34" s="38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 t="str">
        <f>IF(COUNT(J21:J32),AVERAGE(J21:J32),"N/A")</f>
        <v>N/A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38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 t="str">
        <f>IF(COUNT(J9:J32),AVERAGE(J9:J32),"N/A")</f>
        <v>N/A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38"/>
      <c r="D38" s="38"/>
      <c r="E38" s="38"/>
      <c r="F38" s="38"/>
      <c r="G38" s="38"/>
      <c r="H38" s="38"/>
      <c r="I38" s="38"/>
      <c r="J38" s="62"/>
      <c r="K38" s="55"/>
    </row>
    <row r="39" spans="1:11" ht="18" customHeight="1" x14ac:dyDescent="0.25">
      <c r="A39" s="39"/>
      <c r="B39" s="40"/>
      <c r="C39" s="38"/>
      <c r="D39" s="38"/>
      <c r="E39" s="38"/>
      <c r="F39" s="38"/>
      <c r="G39" s="38"/>
      <c r="H39" s="38"/>
      <c r="I39" s="38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42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09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10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11"/>
    </row>
    <row r="49" spans="1:11" ht="21.95" customHeight="1" x14ac:dyDescent="0.25">
      <c r="A49" s="20" t="s">
        <v>85</v>
      </c>
      <c r="B49" s="21" t="str">
        <f t="shared" ref="B49:B72" ca="1" si="9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10">IF(F49+G49+H49=0,("N/A"),SUM(F49,G49,H49)/3)</f>
        <v>N/A</v>
      </c>
      <c r="J49" s="72" t="str">
        <f t="shared" ref="J49:J52" si="11">IF(I49="N/A","N/A",I49-E49)</f>
        <v>N/A</v>
      </c>
      <c r="K49" s="71"/>
    </row>
    <row r="50" spans="1:11" ht="21.95" customHeight="1" x14ac:dyDescent="0.25">
      <c r="A50" s="20" t="s">
        <v>84</v>
      </c>
      <c r="B50" s="21" t="str">
        <f t="shared" ca="1" si="9"/>
        <v/>
      </c>
      <c r="C50" s="22"/>
      <c r="D50" s="23"/>
      <c r="E50" s="24"/>
      <c r="F50" s="25"/>
      <c r="G50" s="26"/>
      <c r="H50" s="27"/>
      <c r="I50" s="28" t="str">
        <f t="shared" si="10"/>
        <v>N/A</v>
      </c>
      <c r="J50" s="72" t="str">
        <f t="shared" si="11"/>
        <v>N/A</v>
      </c>
      <c r="K50" s="71"/>
    </row>
    <row r="51" spans="1:11" ht="21.95" customHeight="1" x14ac:dyDescent="0.25">
      <c r="A51" s="20" t="s">
        <v>38</v>
      </c>
      <c r="B51" s="21" t="str">
        <f t="shared" ca="1" si="9"/>
        <v/>
      </c>
      <c r="C51" s="22"/>
      <c r="D51" s="23"/>
      <c r="E51" s="24"/>
      <c r="F51" s="25"/>
      <c r="G51" s="26"/>
      <c r="H51" s="27"/>
      <c r="I51" s="28" t="str">
        <f t="shared" si="10"/>
        <v>N/A</v>
      </c>
      <c r="J51" s="72" t="str">
        <f t="shared" si="11"/>
        <v>N/A</v>
      </c>
      <c r="K51" s="71"/>
    </row>
    <row r="52" spans="1:11" ht="21.95" customHeight="1" x14ac:dyDescent="0.25">
      <c r="A52" s="20" t="s">
        <v>1</v>
      </c>
      <c r="B52" s="21" t="str">
        <f t="shared" ca="1" si="9"/>
        <v/>
      </c>
      <c r="C52" s="22"/>
      <c r="D52" s="23"/>
      <c r="E52" s="24"/>
      <c r="F52" s="25"/>
      <c r="G52" s="26"/>
      <c r="H52" s="27"/>
      <c r="I52" s="28" t="str">
        <f t="shared" si="10"/>
        <v>N/A</v>
      </c>
      <c r="J52" s="72" t="str">
        <f t="shared" si="11"/>
        <v>N/A</v>
      </c>
      <c r="K52" s="71"/>
    </row>
    <row r="53" spans="1:11" ht="21.95" customHeight="1" x14ac:dyDescent="0.25">
      <c r="A53" s="20" t="s">
        <v>9</v>
      </c>
      <c r="B53" s="21" t="str">
        <f t="shared" ca="1" si="9"/>
        <v/>
      </c>
      <c r="C53" s="22"/>
      <c r="D53" s="23"/>
      <c r="E53" s="24"/>
      <c r="F53" s="25"/>
      <c r="G53" s="26"/>
      <c r="H53" s="27"/>
      <c r="I53" s="28" t="str">
        <f t="shared" si="10"/>
        <v>N/A</v>
      </c>
      <c r="J53" s="56" t="str">
        <f>IF(I53="N/A","N/A",I53-E53)</f>
        <v>N/A</v>
      </c>
      <c r="K53" s="70"/>
    </row>
    <row r="54" spans="1:11" ht="21.95" customHeight="1" x14ac:dyDescent="0.25">
      <c r="A54" s="20" t="s">
        <v>10</v>
      </c>
      <c r="B54" s="21" t="str">
        <f t="shared" ca="1" si="9"/>
        <v/>
      </c>
      <c r="C54" s="22"/>
      <c r="D54" s="23"/>
      <c r="E54" s="24"/>
      <c r="F54" s="25"/>
      <c r="G54" s="26"/>
      <c r="H54" s="27"/>
      <c r="I54" s="28" t="str">
        <f t="shared" si="10"/>
        <v>N/A</v>
      </c>
      <c r="J54" s="56" t="str">
        <f t="shared" ref="J54:J61" si="12">IF(I54="N/A","N/A",I54-E54)</f>
        <v>N/A</v>
      </c>
      <c r="K54" s="70"/>
    </row>
    <row r="55" spans="1:11" ht="21.95" customHeight="1" x14ac:dyDescent="0.25">
      <c r="A55" s="20" t="s">
        <v>11</v>
      </c>
      <c r="B55" s="21" t="str">
        <f t="shared" ca="1" si="9"/>
        <v/>
      </c>
      <c r="C55" s="22"/>
      <c r="D55" s="23"/>
      <c r="E55" s="24"/>
      <c r="F55" s="25"/>
      <c r="G55" s="26"/>
      <c r="H55" s="27"/>
      <c r="I55" s="28" t="str">
        <f t="shared" si="10"/>
        <v>N/A</v>
      </c>
      <c r="J55" s="56" t="str">
        <f t="shared" si="12"/>
        <v>N/A</v>
      </c>
      <c r="K55" s="70"/>
    </row>
    <row r="56" spans="1:11" ht="21.95" customHeight="1" x14ac:dyDescent="0.25">
      <c r="A56" s="20" t="s">
        <v>12</v>
      </c>
      <c r="B56" s="21" t="str">
        <f t="shared" ca="1" si="9"/>
        <v/>
      </c>
      <c r="C56" s="22"/>
      <c r="D56" s="23"/>
      <c r="E56" s="24"/>
      <c r="F56" s="25"/>
      <c r="G56" s="26"/>
      <c r="H56" s="27"/>
      <c r="I56" s="28" t="str">
        <f t="shared" si="10"/>
        <v>N/A</v>
      </c>
      <c r="J56" s="56" t="str">
        <f t="shared" si="12"/>
        <v>N/A</v>
      </c>
      <c r="K56" s="70"/>
    </row>
    <row r="57" spans="1:11" ht="21.95" customHeight="1" x14ac:dyDescent="0.25">
      <c r="A57" s="20" t="s">
        <v>13</v>
      </c>
      <c r="B57" s="21" t="str">
        <f t="shared" ca="1" si="9"/>
        <v/>
      </c>
      <c r="C57" s="22"/>
      <c r="D57" s="23"/>
      <c r="E57" s="24"/>
      <c r="F57" s="25"/>
      <c r="G57" s="26"/>
      <c r="H57" s="27"/>
      <c r="I57" s="28" t="str">
        <f t="shared" si="10"/>
        <v>N/A</v>
      </c>
      <c r="J57" s="56" t="str">
        <f t="shared" si="12"/>
        <v>N/A</v>
      </c>
      <c r="K57" s="70"/>
    </row>
    <row r="58" spans="1:11" ht="21.95" customHeight="1" x14ac:dyDescent="0.25">
      <c r="A58" s="20" t="s">
        <v>14</v>
      </c>
      <c r="B58" s="21" t="str">
        <f t="shared" ca="1" si="9"/>
        <v/>
      </c>
      <c r="C58" s="22"/>
      <c r="D58" s="23"/>
      <c r="E58" s="24"/>
      <c r="F58" s="25"/>
      <c r="G58" s="26"/>
      <c r="H58" s="27"/>
      <c r="I58" s="28" t="str">
        <f t="shared" si="10"/>
        <v>N/A</v>
      </c>
      <c r="J58" s="56" t="str">
        <f t="shared" si="12"/>
        <v>N/A</v>
      </c>
      <c r="K58" s="70"/>
    </row>
    <row r="59" spans="1:11" ht="21.95" customHeight="1" x14ac:dyDescent="0.25">
      <c r="A59" s="20" t="s">
        <v>15</v>
      </c>
      <c r="B59" s="21" t="str">
        <f t="shared" ca="1" si="9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12"/>
        <v>N/A</v>
      </c>
      <c r="K59" s="70"/>
    </row>
    <row r="60" spans="1:11" ht="21.95" customHeight="1" x14ac:dyDescent="0.25">
      <c r="A60" s="30" t="s">
        <v>16</v>
      </c>
      <c r="B60" s="21" t="str">
        <f t="shared" ca="1" si="9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12"/>
        <v>N/A</v>
      </c>
      <c r="K60" s="84"/>
    </row>
    <row r="61" spans="1:11" ht="21.95" customHeight="1" x14ac:dyDescent="0.25">
      <c r="A61" s="31" t="s">
        <v>39</v>
      </c>
      <c r="B61" s="21" t="str">
        <f t="shared" ca="1" si="9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12"/>
        <v>N/A</v>
      </c>
      <c r="K61" s="85"/>
    </row>
    <row r="62" spans="1:11" ht="21.95" customHeight="1" x14ac:dyDescent="0.25">
      <c r="A62" s="31" t="s">
        <v>19</v>
      </c>
      <c r="B62" s="21" t="str">
        <f t="shared" ca="1" si="9"/>
        <v/>
      </c>
      <c r="C62" s="22"/>
      <c r="D62" s="23"/>
      <c r="E62" s="24"/>
      <c r="F62" s="25"/>
      <c r="G62" s="26"/>
      <c r="H62" s="27"/>
      <c r="I62" s="28" t="str">
        <f t="shared" ref="I62:I72" si="13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9"/>
        <v/>
      </c>
      <c r="C63" s="22"/>
      <c r="D63" s="23"/>
      <c r="E63" s="24"/>
      <c r="F63" s="25"/>
      <c r="G63" s="26"/>
      <c r="H63" s="27"/>
      <c r="I63" s="28" t="str">
        <f t="shared" si="13"/>
        <v>N/A</v>
      </c>
      <c r="J63" s="56" t="str">
        <f t="shared" ref="J63:J72" si="14">IF(I63="N/A","N/A",I63-E63)</f>
        <v>N/A</v>
      </c>
      <c r="K63" s="70"/>
    </row>
    <row r="64" spans="1:11" ht="21.95" customHeight="1" x14ac:dyDescent="0.25">
      <c r="A64" s="31" t="s">
        <v>21</v>
      </c>
      <c r="B64" s="21" t="str">
        <f t="shared" ca="1" si="9"/>
        <v/>
      </c>
      <c r="C64" s="22"/>
      <c r="D64" s="23"/>
      <c r="E64" s="24"/>
      <c r="F64" s="25"/>
      <c r="G64" s="26"/>
      <c r="H64" s="27"/>
      <c r="I64" s="28" t="str">
        <f t="shared" si="13"/>
        <v>N/A</v>
      </c>
      <c r="J64" s="56" t="str">
        <f t="shared" si="14"/>
        <v>N/A</v>
      </c>
      <c r="K64" s="70"/>
    </row>
    <row r="65" spans="1:11" ht="21.95" customHeight="1" x14ac:dyDescent="0.25">
      <c r="A65" s="31" t="s">
        <v>2</v>
      </c>
      <c r="B65" s="21" t="str">
        <f t="shared" ca="1" si="9"/>
        <v/>
      </c>
      <c r="C65" s="22"/>
      <c r="D65" s="23"/>
      <c r="E65" s="24"/>
      <c r="F65" s="25"/>
      <c r="G65" s="26"/>
      <c r="H65" s="27"/>
      <c r="I65" s="28" t="str">
        <f t="shared" si="13"/>
        <v>N/A</v>
      </c>
      <c r="J65" s="56" t="str">
        <f t="shared" si="14"/>
        <v>N/A</v>
      </c>
      <c r="K65" s="70"/>
    </row>
    <row r="66" spans="1:11" ht="21.95" customHeight="1" x14ac:dyDescent="0.3">
      <c r="A66" s="31" t="s">
        <v>22</v>
      </c>
      <c r="B66" s="21" t="str">
        <f t="shared" ca="1" si="9"/>
        <v/>
      </c>
      <c r="C66" s="22"/>
      <c r="D66" s="45"/>
      <c r="E66" s="24"/>
      <c r="F66" s="25"/>
      <c r="G66" s="26"/>
      <c r="H66" s="27"/>
      <c r="I66" s="28" t="str">
        <f t="shared" si="13"/>
        <v>N/A</v>
      </c>
      <c r="J66" s="56" t="str">
        <f t="shared" si="14"/>
        <v>N/A</v>
      </c>
      <c r="K66" s="70"/>
    </row>
    <row r="67" spans="1:11" ht="21.95" customHeight="1" x14ac:dyDescent="0.25">
      <c r="A67" s="31" t="s">
        <v>23</v>
      </c>
      <c r="B67" s="21" t="str">
        <f t="shared" ca="1" si="9"/>
        <v/>
      </c>
      <c r="C67" s="22"/>
      <c r="D67" s="23"/>
      <c r="E67" s="24"/>
      <c r="F67" s="25"/>
      <c r="G67" s="26"/>
      <c r="H67" s="27"/>
      <c r="I67" s="28" t="str">
        <f t="shared" si="13"/>
        <v>N/A</v>
      </c>
      <c r="J67" s="56" t="str">
        <f t="shared" si="14"/>
        <v>N/A</v>
      </c>
      <c r="K67" s="70"/>
    </row>
    <row r="68" spans="1:11" ht="21.95" customHeight="1" x14ac:dyDescent="0.3">
      <c r="A68" s="31" t="s">
        <v>24</v>
      </c>
      <c r="B68" s="21" t="str">
        <f t="shared" ca="1" si="9"/>
        <v/>
      </c>
      <c r="C68" s="22"/>
      <c r="D68" s="45"/>
      <c r="E68" s="24"/>
      <c r="F68" s="25"/>
      <c r="G68" s="26"/>
      <c r="H68" s="27"/>
      <c r="I68" s="28" t="str">
        <f t="shared" si="13"/>
        <v>N/A</v>
      </c>
      <c r="J68" s="56" t="str">
        <f t="shared" si="14"/>
        <v>N/A</v>
      </c>
      <c r="K68" s="70"/>
    </row>
    <row r="69" spans="1:11" ht="21.95" customHeight="1" x14ac:dyDescent="0.3">
      <c r="A69" s="31" t="s">
        <v>25</v>
      </c>
      <c r="B69" s="21" t="str">
        <f t="shared" ca="1" si="9"/>
        <v/>
      </c>
      <c r="C69" s="22"/>
      <c r="D69" s="45"/>
      <c r="E69" s="24"/>
      <c r="F69" s="25"/>
      <c r="G69" s="26"/>
      <c r="H69" s="27"/>
      <c r="I69" s="28" t="str">
        <f t="shared" si="13"/>
        <v>N/A</v>
      </c>
      <c r="J69" s="56" t="str">
        <f t="shared" si="14"/>
        <v>N/A</v>
      </c>
      <c r="K69" s="70"/>
    </row>
    <row r="70" spans="1:11" ht="21.95" customHeight="1" x14ac:dyDescent="0.3">
      <c r="A70" s="87" t="s">
        <v>77</v>
      </c>
      <c r="B70" s="21"/>
      <c r="C70" s="22"/>
      <c r="D70" s="45"/>
      <c r="E70" s="24"/>
      <c r="F70" s="25"/>
      <c r="G70" s="26"/>
      <c r="H70" s="27"/>
      <c r="I70" s="28" t="str">
        <f t="shared" si="13"/>
        <v>N/A</v>
      </c>
      <c r="J70" s="56" t="str">
        <f t="shared" si="14"/>
        <v>N/A</v>
      </c>
      <c r="K70" s="84"/>
    </row>
    <row r="71" spans="1:11" ht="21.95" customHeight="1" x14ac:dyDescent="0.3">
      <c r="A71" s="87" t="s">
        <v>86</v>
      </c>
      <c r="B71" s="21"/>
      <c r="C71" s="22"/>
      <c r="D71" s="45"/>
      <c r="E71" s="24"/>
      <c r="F71" s="25"/>
      <c r="G71" s="26"/>
      <c r="H71" s="27"/>
      <c r="I71" s="28" t="str">
        <f t="shared" si="13"/>
        <v>N/A</v>
      </c>
      <c r="J71" s="56" t="str">
        <f t="shared" si="14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9"/>
        <v/>
      </c>
      <c r="C72" s="22"/>
      <c r="D72" s="45"/>
      <c r="E72" s="24"/>
      <c r="F72" s="25"/>
      <c r="G72" s="26"/>
      <c r="H72" s="27"/>
      <c r="I72" s="28" t="str">
        <f t="shared" si="13"/>
        <v>N/A</v>
      </c>
      <c r="J72" s="56" t="str">
        <f t="shared" si="14"/>
        <v>N/A</v>
      </c>
      <c r="K72" s="83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 t="str">
        <f>IF(COUNT(J49:J60),AVERAGE(J49:J60),"N/A")</f>
        <v>N/A</v>
      </c>
      <c r="G73" s="58"/>
      <c r="H73" s="58"/>
      <c r="I73" s="79"/>
      <c r="K73" s="55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 t="str">
        <f>IF(COUNT(J61:J72),AVERAGE(J61:J72),"N/A")</f>
        <v>N/A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 t="str">
        <f>IF(COUNT(J49:J72),AVERAGE(J49:J72),"N/A")</f>
        <v>N/A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/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42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09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10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11"/>
    </row>
    <row r="89" spans="1:11" ht="21.95" customHeight="1" x14ac:dyDescent="0.25">
      <c r="A89" s="20" t="s">
        <v>85</v>
      </c>
      <c r="B89" s="21" t="str">
        <f t="shared" ref="B89:B112" ca="1" si="15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6">IF(F89+G89+H89=0,("N/A"),SUM(F89,G89,H89)/3)</f>
        <v>N/A</v>
      </c>
      <c r="J89" s="72" t="str">
        <f t="shared" ref="J89:J92" si="17">IF(I89="N/A","N/A",I89-E89)</f>
        <v>N/A</v>
      </c>
      <c r="K89" s="71"/>
    </row>
    <row r="90" spans="1:11" ht="21.95" customHeight="1" x14ac:dyDescent="0.25">
      <c r="A90" s="20" t="s">
        <v>84</v>
      </c>
      <c r="B90" s="21" t="str">
        <f t="shared" ca="1" si="15"/>
        <v/>
      </c>
      <c r="C90" s="22"/>
      <c r="D90" s="23"/>
      <c r="E90" s="24"/>
      <c r="F90" s="25"/>
      <c r="G90" s="26"/>
      <c r="H90" s="27"/>
      <c r="I90" s="28" t="str">
        <f t="shared" si="16"/>
        <v>N/A</v>
      </c>
      <c r="J90" s="72" t="str">
        <f t="shared" si="17"/>
        <v>N/A</v>
      </c>
      <c r="K90" s="71"/>
    </row>
    <row r="91" spans="1:11" ht="21.95" customHeight="1" x14ac:dyDescent="0.25">
      <c r="A91" s="20" t="s">
        <v>38</v>
      </c>
      <c r="B91" s="21" t="str">
        <f t="shared" ca="1" si="15"/>
        <v/>
      </c>
      <c r="C91" s="22"/>
      <c r="D91" s="23"/>
      <c r="E91" s="24"/>
      <c r="F91" s="25"/>
      <c r="G91" s="26"/>
      <c r="H91" s="27"/>
      <c r="I91" s="28" t="str">
        <f t="shared" si="16"/>
        <v>N/A</v>
      </c>
      <c r="J91" s="72" t="str">
        <f t="shared" si="17"/>
        <v>N/A</v>
      </c>
      <c r="K91" s="71"/>
    </row>
    <row r="92" spans="1:11" ht="21.95" customHeight="1" x14ac:dyDescent="0.25">
      <c r="A92" s="20" t="s">
        <v>1</v>
      </c>
      <c r="B92" s="21" t="str">
        <f t="shared" ca="1" si="15"/>
        <v/>
      </c>
      <c r="C92" s="22"/>
      <c r="D92" s="23"/>
      <c r="E92" s="24"/>
      <c r="F92" s="25"/>
      <c r="G92" s="26"/>
      <c r="H92" s="27"/>
      <c r="I92" s="28" t="str">
        <f t="shared" si="16"/>
        <v>N/A</v>
      </c>
      <c r="J92" s="72" t="str">
        <f t="shared" si="17"/>
        <v>N/A</v>
      </c>
      <c r="K92" s="71"/>
    </row>
    <row r="93" spans="1:11" ht="21.95" customHeight="1" x14ac:dyDescent="0.25">
      <c r="A93" s="20" t="s">
        <v>9</v>
      </c>
      <c r="B93" s="21" t="str">
        <f t="shared" ca="1" si="15"/>
        <v/>
      </c>
      <c r="C93" s="22"/>
      <c r="D93" s="23"/>
      <c r="E93" s="24"/>
      <c r="F93" s="25"/>
      <c r="G93" s="26"/>
      <c r="H93" s="27"/>
      <c r="I93" s="28" t="str">
        <f t="shared" si="16"/>
        <v>N/A</v>
      </c>
      <c r="J93" s="56" t="str">
        <f>IF(I93="N/A","N/A",I93-E93)</f>
        <v>N/A</v>
      </c>
      <c r="K93" s="70"/>
    </row>
    <row r="94" spans="1:11" ht="21.95" customHeight="1" x14ac:dyDescent="0.25">
      <c r="A94" s="20" t="s">
        <v>10</v>
      </c>
      <c r="B94" s="21" t="str">
        <f t="shared" ca="1" si="15"/>
        <v/>
      </c>
      <c r="C94" s="22"/>
      <c r="D94" s="23"/>
      <c r="E94" s="24"/>
      <c r="F94" s="25"/>
      <c r="G94" s="26"/>
      <c r="H94" s="27"/>
      <c r="I94" s="28" t="str">
        <f t="shared" si="16"/>
        <v>N/A</v>
      </c>
      <c r="J94" s="56" t="str">
        <f t="shared" ref="J94:J101" si="18">IF(I94="N/A","N/A",I94-E94)</f>
        <v>N/A</v>
      </c>
      <c r="K94" s="70"/>
    </row>
    <row r="95" spans="1:11" ht="21.95" customHeight="1" x14ac:dyDescent="0.25">
      <c r="A95" s="20" t="s">
        <v>11</v>
      </c>
      <c r="B95" s="21" t="str">
        <f t="shared" ca="1" si="15"/>
        <v/>
      </c>
      <c r="C95" s="22"/>
      <c r="D95" s="23"/>
      <c r="E95" s="24"/>
      <c r="F95" s="25"/>
      <c r="G95" s="26"/>
      <c r="H95" s="27"/>
      <c r="I95" s="28" t="str">
        <f t="shared" si="16"/>
        <v>N/A</v>
      </c>
      <c r="J95" s="56" t="str">
        <f t="shared" si="18"/>
        <v>N/A</v>
      </c>
      <c r="K95" s="70"/>
    </row>
    <row r="96" spans="1:11" ht="21.95" customHeight="1" x14ac:dyDescent="0.25">
      <c r="A96" s="20" t="s">
        <v>12</v>
      </c>
      <c r="B96" s="21" t="str">
        <f t="shared" ca="1" si="15"/>
        <v/>
      </c>
      <c r="C96" s="22"/>
      <c r="D96" s="23"/>
      <c r="E96" s="24"/>
      <c r="F96" s="25"/>
      <c r="G96" s="26"/>
      <c r="H96" s="27"/>
      <c r="I96" s="28" t="str">
        <f t="shared" si="16"/>
        <v>N/A</v>
      </c>
      <c r="J96" s="56" t="str">
        <f t="shared" si="18"/>
        <v>N/A</v>
      </c>
      <c r="K96" s="70"/>
    </row>
    <row r="97" spans="1:11" ht="21.95" customHeight="1" x14ac:dyDescent="0.25">
      <c r="A97" s="20" t="s">
        <v>13</v>
      </c>
      <c r="B97" s="21" t="str">
        <f t="shared" ca="1" si="15"/>
        <v/>
      </c>
      <c r="C97" s="22"/>
      <c r="D97" s="23"/>
      <c r="E97" s="24"/>
      <c r="F97" s="25"/>
      <c r="G97" s="26"/>
      <c r="H97" s="27"/>
      <c r="I97" s="28" t="str">
        <f t="shared" si="16"/>
        <v>N/A</v>
      </c>
      <c r="J97" s="56" t="str">
        <f t="shared" si="18"/>
        <v>N/A</v>
      </c>
      <c r="K97" s="70"/>
    </row>
    <row r="98" spans="1:11" ht="21.95" customHeight="1" x14ac:dyDescent="0.25">
      <c r="A98" s="20" t="s">
        <v>14</v>
      </c>
      <c r="B98" s="21" t="str">
        <f t="shared" ca="1" si="15"/>
        <v/>
      </c>
      <c r="C98" s="22"/>
      <c r="D98" s="23"/>
      <c r="E98" s="24"/>
      <c r="F98" s="25"/>
      <c r="G98" s="26"/>
      <c r="H98" s="27"/>
      <c r="I98" s="28" t="str">
        <f t="shared" si="16"/>
        <v>N/A</v>
      </c>
      <c r="J98" s="56" t="str">
        <f t="shared" si="18"/>
        <v>N/A</v>
      </c>
      <c r="K98" s="70"/>
    </row>
    <row r="99" spans="1:11" ht="21.95" customHeight="1" x14ac:dyDescent="0.25">
      <c r="A99" s="20" t="s">
        <v>15</v>
      </c>
      <c r="B99" s="21" t="str">
        <f t="shared" ca="1" si="15"/>
        <v/>
      </c>
      <c r="C99" s="22"/>
      <c r="D99" s="23"/>
      <c r="E99" s="24"/>
      <c r="F99" s="25"/>
      <c r="G99" s="26"/>
      <c r="H99" s="27"/>
      <c r="I99" s="28" t="str">
        <f>IF(F99+G99+H99=0,("N/A"),SUM(F99,G99,H99)/3)</f>
        <v>N/A</v>
      </c>
      <c r="J99" s="56" t="str">
        <f t="shared" si="18"/>
        <v>N/A</v>
      </c>
      <c r="K99" s="70"/>
    </row>
    <row r="100" spans="1:11" ht="21.95" customHeight="1" x14ac:dyDescent="0.25">
      <c r="A100" s="30" t="s">
        <v>16</v>
      </c>
      <c r="B100" s="21" t="str">
        <f t="shared" ca="1" si="15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18"/>
        <v>N/A</v>
      </c>
      <c r="K100" s="84"/>
    </row>
    <row r="101" spans="1:11" ht="21.95" customHeight="1" x14ac:dyDescent="0.25">
      <c r="A101" s="31" t="s">
        <v>39</v>
      </c>
      <c r="B101" s="21" t="str">
        <f t="shared" ca="1" si="15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18"/>
        <v>N/A</v>
      </c>
      <c r="K101" s="85"/>
    </row>
    <row r="102" spans="1:11" ht="21.95" customHeight="1" x14ac:dyDescent="0.25">
      <c r="A102" s="31" t="s">
        <v>19</v>
      </c>
      <c r="B102" s="21" t="str">
        <f t="shared" ca="1" si="15"/>
        <v/>
      </c>
      <c r="C102" s="22"/>
      <c r="D102" s="23"/>
      <c r="E102" s="24"/>
      <c r="F102" s="25"/>
      <c r="G102" s="26"/>
      <c r="H102" s="27"/>
      <c r="I102" s="28" t="str">
        <f t="shared" ref="I102:I112" si="19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5"/>
        <v/>
      </c>
      <c r="C103" s="22"/>
      <c r="D103" s="23"/>
      <c r="E103" s="24"/>
      <c r="F103" s="25"/>
      <c r="G103" s="26"/>
      <c r="H103" s="27"/>
      <c r="I103" s="28" t="str">
        <f t="shared" si="19"/>
        <v>N/A</v>
      </c>
      <c r="J103" s="56" t="str">
        <f t="shared" ref="J103:J112" si="20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5"/>
        <v/>
      </c>
      <c r="C104" s="22"/>
      <c r="D104" s="23"/>
      <c r="E104" s="24"/>
      <c r="F104" s="25"/>
      <c r="G104" s="26"/>
      <c r="H104" s="27"/>
      <c r="I104" s="28" t="str">
        <f t="shared" si="19"/>
        <v>N/A</v>
      </c>
      <c r="J104" s="56" t="str">
        <f t="shared" si="20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5"/>
        <v/>
      </c>
      <c r="C105" s="22"/>
      <c r="D105" s="23"/>
      <c r="E105" s="24"/>
      <c r="F105" s="25"/>
      <c r="G105" s="26"/>
      <c r="H105" s="27"/>
      <c r="I105" s="28" t="str">
        <f t="shared" si="19"/>
        <v>N/A</v>
      </c>
      <c r="J105" s="56" t="str">
        <f t="shared" si="20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5"/>
        <v/>
      </c>
      <c r="C106" s="22"/>
      <c r="D106" s="45"/>
      <c r="E106" s="24"/>
      <c r="F106" s="25"/>
      <c r="G106" s="26"/>
      <c r="H106" s="27"/>
      <c r="I106" s="28" t="str">
        <f t="shared" si="19"/>
        <v>N/A</v>
      </c>
      <c r="J106" s="56" t="str">
        <f t="shared" si="20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5"/>
        <v/>
      </c>
      <c r="C107" s="22"/>
      <c r="D107" s="23"/>
      <c r="E107" s="24"/>
      <c r="F107" s="25"/>
      <c r="G107" s="26"/>
      <c r="H107" s="27"/>
      <c r="I107" s="28" t="str">
        <f t="shared" si="19"/>
        <v>N/A</v>
      </c>
      <c r="J107" s="56" t="str">
        <f t="shared" si="20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5"/>
        <v/>
      </c>
      <c r="C108" s="22"/>
      <c r="D108" s="45"/>
      <c r="E108" s="24"/>
      <c r="F108" s="25"/>
      <c r="G108" s="26"/>
      <c r="H108" s="27"/>
      <c r="I108" s="28" t="str">
        <f t="shared" si="19"/>
        <v>N/A</v>
      </c>
      <c r="J108" s="56" t="str">
        <f t="shared" si="20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5"/>
        <v/>
      </c>
      <c r="C109" s="22"/>
      <c r="D109" s="45"/>
      <c r="E109" s="24"/>
      <c r="F109" s="25"/>
      <c r="G109" s="26"/>
      <c r="H109" s="27"/>
      <c r="I109" s="28" t="str">
        <f t="shared" si="19"/>
        <v>N/A</v>
      </c>
      <c r="J109" s="56" t="str">
        <f t="shared" si="20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5"/>
        <v/>
      </c>
      <c r="C110" s="22"/>
      <c r="D110" s="45"/>
      <c r="E110" s="24"/>
      <c r="F110" s="25"/>
      <c r="G110" s="26"/>
      <c r="H110" s="27"/>
      <c r="I110" s="28" t="str">
        <f t="shared" si="19"/>
        <v>N/A</v>
      </c>
      <c r="J110" s="56" t="str">
        <f t="shared" si="20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5"/>
        <v/>
      </c>
      <c r="C111" s="22"/>
      <c r="D111" s="45"/>
      <c r="E111" s="24"/>
      <c r="F111" s="25"/>
      <c r="G111" s="26"/>
      <c r="H111" s="27"/>
      <c r="I111" s="28" t="str">
        <f t="shared" si="19"/>
        <v>N/A</v>
      </c>
      <c r="J111" s="56" t="str">
        <f t="shared" si="20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5"/>
        <v/>
      </c>
      <c r="C112" s="22"/>
      <c r="D112" s="45"/>
      <c r="E112" s="24"/>
      <c r="F112" s="25"/>
      <c r="G112" s="26"/>
      <c r="H112" s="27"/>
      <c r="I112" s="28" t="str">
        <f t="shared" si="19"/>
        <v>N/A</v>
      </c>
      <c r="J112" s="56" t="str">
        <f t="shared" si="20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 t="str">
        <f>IF(COUNT(J89:J100),AVERAGE(J89:J100),"N/A")</f>
        <v>N/A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 t="str">
        <f>IF(COUNT(J101:J112),AVERAGE(J101:J112),"N/A")</f>
        <v>N/A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 t="str">
        <f>IF(COUNT(J89:J112),AVERAGE(J89:J112),"N/A")</f>
        <v>N/A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42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09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10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11"/>
    </row>
    <row r="128" spans="1:11" ht="21.95" customHeight="1" x14ac:dyDescent="0.25">
      <c r="A128" s="20" t="s">
        <v>85</v>
      </c>
      <c r="B128" s="21" t="str">
        <f t="shared" ref="B128:B151" ca="1" si="21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22">IF(F128+G128+H128=0,("N/A"),SUM(F128,G128,H128)/3)</f>
        <v>N/A</v>
      </c>
      <c r="J128" s="72" t="str">
        <f t="shared" ref="J128:J131" si="23">IF(I128="N/A","N/A",I128-E128)</f>
        <v>N/A</v>
      </c>
      <c r="K128" s="71"/>
    </row>
    <row r="129" spans="1:11" ht="21.95" customHeight="1" x14ac:dyDescent="0.25">
      <c r="A129" s="20" t="s">
        <v>84</v>
      </c>
      <c r="B129" s="21" t="str">
        <f t="shared" ca="1" si="21"/>
        <v/>
      </c>
      <c r="C129" s="22"/>
      <c r="D129" s="23"/>
      <c r="E129" s="24"/>
      <c r="F129" s="25"/>
      <c r="G129" s="26"/>
      <c r="H129" s="27"/>
      <c r="I129" s="28" t="str">
        <f t="shared" si="22"/>
        <v>N/A</v>
      </c>
      <c r="J129" s="72" t="str">
        <f t="shared" si="23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21"/>
        <v/>
      </c>
      <c r="C130" s="22"/>
      <c r="D130" s="23"/>
      <c r="E130" s="24"/>
      <c r="F130" s="25"/>
      <c r="G130" s="26"/>
      <c r="H130" s="27"/>
      <c r="I130" s="28" t="str">
        <f t="shared" si="22"/>
        <v>N/A</v>
      </c>
      <c r="J130" s="72" t="str">
        <f t="shared" si="23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21"/>
        <v/>
      </c>
      <c r="C131" s="22"/>
      <c r="D131" s="23"/>
      <c r="E131" s="24"/>
      <c r="F131" s="25"/>
      <c r="G131" s="26"/>
      <c r="H131" s="27"/>
      <c r="I131" s="28" t="str">
        <f t="shared" si="22"/>
        <v>N/A</v>
      </c>
      <c r="J131" s="72" t="str">
        <f t="shared" si="23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21"/>
        <v/>
      </c>
      <c r="C132" s="22"/>
      <c r="D132" s="23"/>
      <c r="E132" s="24"/>
      <c r="F132" s="25"/>
      <c r="G132" s="26"/>
      <c r="H132" s="27"/>
      <c r="I132" s="28" t="str">
        <f t="shared" si="22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21"/>
        <v/>
      </c>
      <c r="C133" s="22"/>
      <c r="D133" s="23"/>
      <c r="E133" s="24"/>
      <c r="F133" s="25"/>
      <c r="G133" s="26"/>
      <c r="H133" s="27"/>
      <c r="I133" s="28" t="str">
        <f t="shared" si="22"/>
        <v>N/A</v>
      </c>
      <c r="J133" s="56" t="str">
        <f t="shared" ref="J133:J140" si="24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21"/>
        <v/>
      </c>
      <c r="C134" s="22"/>
      <c r="D134" s="23"/>
      <c r="E134" s="24"/>
      <c r="F134" s="25"/>
      <c r="G134" s="26"/>
      <c r="H134" s="27"/>
      <c r="I134" s="28" t="str">
        <f t="shared" si="22"/>
        <v>N/A</v>
      </c>
      <c r="J134" s="56" t="str">
        <f t="shared" si="24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21"/>
        <v/>
      </c>
      <c r="C135" s="22"/>
      <c r="D135" s="23"/>
      <c r="E135" s="24"/>
      <c r="F135" s="25"/>
      <c r="G135" s="26"/>
      <c r="H135" s="27"/>
      <c r="I135" s="28" t="str">
        <f t="shared" si="22"/>
        <v>N/A</v>
      </c>
      <c r="J135" s="56" t="str">
        <f t="shared" si="24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21"/>
        <v/>
      </c>
      <c r="C136" s="22"/>
      <c r="D136" s="23"/>
      <c r="E136" s="24"/>
      <c r="F136" s="25"/>
      <c r="G136" s="26"/>
      <c r="H136" s="27"/>
      <c r="I136" s="28" t="str">
        <f t="shared" si="22"/>
        <v>N/A</v>
      </c>
      <c r="J136" s="56" t="str">
        <f t="shared" si="24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21"/>
        <v/>
      </c>
      <c r="C137" s="22"/>
      <c r="D137" s="23"/>
      <c r="E137" s="24"/>
      <c r="F137" s="25"/>
      <c r="G137" s="26"/>
      <c r="H137" s="27"/>
      <c r="I137" s="28" t="str">
        <f t="shared" si="22"/>
        <v>N/A</v>
      </c>
      <c r="J137" s="56" t="str">
        <f t="shared" si="24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21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4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21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4"/>
        <v>N/A</v>
      </c>
      <c r="K139" s="84"/>
    </row>
    <row r="140" spans="1:11" ht="21.95" customHeight="1" x14ac:dyDescent="0.25">
      <c r="A140" s="31" t="s">
        <v>39</v>
      </c>
      <c r="B140" s="21" t="str">
        <f t="shared" ca="1" si="21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4"/>
        <v>N/A</v>
      </c>
      <c r="K140" s="85"/>
    </row>
    <row r="141" spans="1:11" ht="21.95" customHeight="1" x14ac:dyDescent="0.25">
      <c r="A141" s="31" t="s">
        <v>19</v>
      </c>
      <c r="B141" s="21" t="str">
        <f t="shared" ca="1" si="21"/>
        <v/>
      </c>
      <c r="C141" s="22"/>
      <c r="D141" s="23"/>
      <c r="E141" s="24"/>
      <c r="F141" s="25"/>
      <c r="G141" s="26"/>
      <c r="H141" s="27"/>
      <c r="I141" s="28" t="str">
        <f t="shared" ref="I141:I151" si="25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21"/>
        <v/>
      </c>
      <c r="C142" s="22"/>
      <c r="D142" s="23"/>
      <c r="E142" s="24"/>
      <c r="F142" s="25"/>
      <c r="G142" s="26"/>
      <c r="H142" s="27"/>
      <c r="I142" s="28" t="str">
        <f t="shared" si="25"/>
        <v>N/A</v>
      </c>
      <c r="J142" s="56" t="str">
        <f t="shared" ref="J142:J151" si="26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21"/>
        <v/>
      </c>
      <c r="C143" s="22"/>
      <c r="D143" s="23"/>
      <c r="E143" s="24"/>
      <c r="F143" s="25"/>
      <c r="G143" s="26"/>
      <c r="H143" s="27"/>
      <c r="I143" s="28" t="str">
        <f t="shared" si="25"/>
        <v>N/A</v>
      </c>
      <c r="J143" s="56" t="str">
        <f t="shared" si="26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21"/>
        <v/>
      </c>
      <c r="C144" s="22"/>
      <c r="D144" s="23"/>
      <c r="E144" s="24"/>
      <c r="F144" s="25"/>
      <c r="G144" s="26"/>
      <c r="H144" s="27"/>
      <c r="I144" s="28" t="str">
        <f t="shared" si="25"/>
        <v>N/A</v>
      </c>
      <c r="J144" s="56" t="str">
        <f t="shared" si="26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21"/>
        <v/>
      </c>
      <c r="C145" s="22"/>
      <c r="D145" s="45"/>
      <c r="E145" s="24"/>
      <c r="F145" s="25"/>
      <c r="G145" s="26"/>
      <c r="H145" s="27"/>
      <c r="I145" s="28" t="str">
        <f t="shared" si="25"/>
        <v>N/A</v>
      </c>
      <c r="J145" s="56" t="str">
        <f t="shared" si="26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21"/>
        <v/>
      </c>
      <c r="C146" s="22"/>
      <c r="D146" s="23"/>
      <c r="E146" s="24"/>
      <c r="F146" s="25"/>
      <c r="G146" s="26"/>
      <c r="H146" s="27"/>
      <c r="I146" s="28" t="str">
        <f t="shared" si="25"/>
        <v>N/A</v>
      </c>
      <c r="J146" s="56" t="str">
        <f t="shared" si="26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21"/>
        <v/>
      </c>
      <c r="C147" s="22"/>
      <c r="D147" s="45"/>
      <c r="E147" s="24"/>
      <c r="F147" s="25"/>
      <c r="G147" s="26"/>
      <c r="H147" s="27"/>
      <c r="I147" s="28" t="str">
        <f t="shared" si="25"/>
        <v>N/A</v>
      </c>
      <c r="J147" s="56" t="str">
        <f t="shared" si="26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21"/>
        <v/>
      </c>
      <c r="C148" s="22"/>
      <c r="D148" s="45"/>
      <c r="E148" s="24"/>
      <c r="F148" s="25"/>
      <c r="G148" s="26"/>
      <c r="H148" s="27"/>
      <c r="I148" s="28" t="str">
        <f t="shared" si="25"/>
        <v>N/A</v>
      </c>
      <c r="J148" s="56" t="str">
        <f t="shared" si="26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21"/>
        <v/>
      </c>
      <c r="C149" s="22"/>
      <c r="D149" s="45"/>
      <c r="E149" s="24"/>
      <c r="F149" s="25"/>
      <c r="G149" s="26"/>
      <c r="H149" s="27"/>
      <c r="I149" s="28" t="str">
        <f t="shared" si="25"/>
        <v>N/A</v>
      </c>
      <c r="J149" s="56" t="str">
        <f t="shared" si="26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21"/>
        <v/>
      </c>
      <c r="C150" s="22"/>
      <c r="D150" s="45"/>
      <c r="E150" s="24"/>
      <c r="F150" s="25"/>
      <c r="G150" s="26"/>
      <c r="H150" s="27"/>
      <c r="I150" s="28" t="str">
        <f t="shared" si="25"/>
        <v>N/A</v>
      </c>
      <c r="J150" s="56" t="str">
        <f t="shared" si="26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21"/>
        <v/>
      </c>
      <c r="C151" s="22"/>
      <c r="D151" s="45"/>
      <c r="E151" s="24"/>
      <c r="F151" s="25"/>
      <c r="G151" s="26"/>
      <c r="H151" s="27"/>
      <c r="I151" s="28" t="str">
        <f t="shared" si="25"/>
        <v>N/A</v>
      </c>
      <c r="J151" s="56" t="str">
        <f t="shared" si="26"/>
        <v>N/A</v>
      </c>
      <c r="K151" s="83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55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42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09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10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11"/>
    </row>
    <row r="167" spans="1:11" ht="21.95" customHeight="1" x14ac:dyDescent="0.25">
      <c r="A167" s="20" t="s">
        <v>85</v>
      </c>
      <c r="B167" s="21" t="str">
        <f t="shared" ref="B167:B190" ca="1" si="27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8">IF(F167+G167+H167=0,("N/A"),SUM(F167,G167,H167)/3)</f>
        <v>N/A</v>
      </c>
      <c r="J167" s="72" t="str">
        <f t="shared" ref="J167:J170" si="29">IF(I167="N/A","N/A",I167-E167)</f>
        <v>N/A</v>
      </c>
      <c r="K167" s="71"/>
    </row>
    <row r="168" spans="1:11" ht="21.95" customHeight="1" x14ac:dyDescent="0.25">
      <c r="A168" s="20" t="s">
        <v>84</v>
      </c>
      <c r="B168" s="21" t="str">
        <f t="shared" ca="1" si="27"/>
        <v/>
      </c>
      <c r="C168" s="22"/>
      <c r="D168" s="23"/>
      <c r="E168" s="24"/>
      <c r="F168" s="25"/>
      <c r="G168" s="26"/>
      <c r="H168" s="27"/>
      <c r="I168" s="28" t="str">
        <f t="shared" si="28"/>
        <v>N/A</v>
      </c>
      <c r="J168" s="72" t="str">
        <f t="shared" si="29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7"/>
        <v/>
      </c>
      <c r="C169" s="22"/>
      <c r="D169" s="23"/>
      <c r="E169" s="24"/>
      <c r="F169" s="25"/>
      <c r="G169" s="26"/>
      <c r="H169" s="27"/>
      <c r="I169" s="28" t="str">
        <f t="shared" si="28"/>
        <v>N/A</v>
      </c>
      <c r="J169" s="72" t="str">
        <f t="shared" si="29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7"/>
        <v/>
      </c>
      <c r="C170" s="22"/>
      <c r="D170" s="23"/>
      <c r="E170" s="24"/>
      <c r="F170" s="25"/>
      <c r="G170" s="26"/>
      <c r="H170" s="27"/>
      <c r="I170" s="28" t="str">
        <f t="shared" si="28"/>
        <v>N/A</v>
      </c>
      <c r="J170" s="72" t="str">
        <f t="shared" si="29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7"/>
        <v/>
      </c>
      <c r="C171" s="22"/>
      <c r="D171" s="23"/>
      <c r="E171" s="24"/>
      <c r="F171" s="25"/>
      <c r="G171" s="26"/>
      <c r="H171" s="27"/>
      <c r="I171" s="28" t="str">
        <f t="shared" si="28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7"/>
        <v/>
      </c>
      <c r="C172" s="22"/>
      <c r="D172" s="23"/>
      <c r="E172" s="24"/>
      <c r="F172" s="25"/>
      <c r="G172" s="26"/>
      <c r="H172" s="27"/>
      <c r="I172" s="28" t="str">
        <f t="shared" si="28"/>
        <v>N/A</v>
      </c>
      <c r="J172" s="56" t="str">
        <f t="shared" ref="J172:J179" si="30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7"/>
        <v/>
      </c>
      <c r="C173" s="22"/>
      <c r="D173" s="23"/>
      <c r="E173" s="24"/>
      <c r="F173" s="25"/>
      <c r="G173" s="26"/>
      <c r="H173" s="27"/>
      <c r="I173" s="28" t="str">
        <f t="shared" si="28"/>
        <v>N/A</v>
      </c>
      <c r="J173" s="56" t="str">
        <f t="shared" si="30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7"/>
        <v/>
      </c>
      <c r="C174" s="22"/>
      <c r="D174" s="23"/>
      <c r="E174" s="24"/>
      <c r="F174" s="25"/>
      <c r="G174" s="26"/>
      <c r="H174" s="27"/>
      <c r="I174" s="28" t="str">
        <f t="shared" si="28"/>
        <v>N/A</v>
      </c>
      <c r="J174" s="56" t="str">
        <f t="shared" si="30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7"/>
        <v/>
      </c>
      <c r="C175" s="22"/>
      <c r="D175" s="23"/>
      <c r="E175" s="24"/>
      <c r="F175" s="25"/>
      <c r="G175" s="26"/>
      <c r="H175" s="27"/>
      <c r="I175" s="28" t="str">
        <f t="shared" si="28"/>
        <v>N/A</v>
      </c>
      <c r="J175" s="56" t="str">
        <f t="shared" si="30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7"/>
        <v/>
      </c>
      <c r="C176" s="22"/>
      <c r="D176" s="23"/>
      <c r="E176" s="24"/>
      <c r="F176" s="25"/>
      <c r="G176" s="26"/>
      <c r="H176" s="27"/>
      <c r="I176" s="28" t="str">
        <f t="shared" si="28"/>
        <v>N/A</v>
      </c>
      <c r="J176" s="56" t="str">
        <f t="shared" si="30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7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30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7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30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7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30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7"/>
        <v/>
      </c>
      <c r="C180" s="22"/>
      <c r="D180" s="23"/>
      <c r="E180" s="24"/>
      <c r="F180" s="25"/>
      <c r="G180" s="26"/>
      <c r="H180" s="27"/>
      <c r="I180" s="28" t="str">
        <f t="shared" ref="I180:I190" si="31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7"/>
        <v/>
      </c>
      <c r="C181" s="22"/>
      <c r="D181" s="23"/>
      <c r="E181" s="24"/>
      <c r="F181" s="25"/>
      <c r="G181" s="26"/>
      <c r="H181" s="27"/>
      <c r="I181" s="28" t="str">
        <f t="shared" si="31"/>
        <v>N/A</v>
      </c>
      <c r="J181" s="56" t="str">
        <f t="shared" ref="J181:J190" si="32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7"/>
        <v/>
      </c>
      <c r="C182" s="22"/>
      <c r="D182" s="23"/>
      <c r="E182" s="24"/>
      <c r="F182" s="25"/>
      <c r="G182" s="26"/>
      <c r="H182" s="27"/>
      <c r="I182" s="28" t="str">
        <f t="shared" si="31"/>
        <v>N/A</v>
      </c>
      <c r="J182" s="56" t="str">
        <f t="shared" si="32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7"/>
        <v/>
      </c>
      <c r="C183" s="22"/>
      <c r="D183" s="23"/>
      <c r="E183" s="24"/>
      <c r="F183" s="25"/>
      <c r="G183" s="26"/>
      <c r="H183" s="27"/>
      <c r="I183" s="28" t="str">
        <f t="shared" si="31"/>
        <v>N/A</v>
      </c>
      <c r="J183" s="56" t="str">
        <f t="shared" si="32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7"/>
        <v/>
      </c>
      <c r="C184" s="22"/>
      <c r="D184" s="45"/>
      <c r="E184" s="24"/>
      <c r="F184" s="25"/>
      <c r="G184" s="26"/>
      <c r="H184" s="27"/>
      <c r="I184" s="28" t="str">
        <f t="shared" si="31"/>
        <v>N/A</v>
      </c>
      <c r="J184" s="56" t="str">
        <f t="shared" si="32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7"/>
        <v/>
      </c>
      <c r="C185" s="22"/>
      <c r="D185" s="23"/>
      <c r="E185" s="24"/>
      <c r="F185" s="25"/>
      <c r="G185" s="26"/>
      <c r="H185" s="27"/>
      <c r="I185" s="28" t="str">
        <f t="shared" si="31"/>
        <v>N/A</v>
      </c>
      <c r="J185" s="56" t="str">
        <f t="shared" si="32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7"/>
        <v/>
      </c>
      <c r="C186" s="22"/>
      <c r="D186" s="45"/>
      <c r="E186" s="24"/>
      <c r="F186" s="25"/>
      <c r="G186" s="26"/>
      <c r="H186" s="27"/>
      <c r="I186" s="28" t="str">
        <f t="shared" si="31"/>
        <v>N/A</v>
      </c>
      <c r="J186" s="56" t="str">
        <f t="shared" si="32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7"/>
        <v/>
      </c>
      <c r="C187" s="22"/>
      <c r="D187" s="45"/>
      <c r="E187" s="24"/>
      <c r="F187" s="25"/>
      <c r="G187" s="26"/>
      <c r="H187" s="27"/>
      <c r="I187" s="28" t="str">
        <f t="shared" si="31"/>
        <v>N/A</v>
      </c>
      <c r="J187" s="56" t="str">
        <f t="shared" si="32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7"/>
        <v/>
      </c>
      <c r="C188" s="22"/>
      <c r="D188" s="45"/>
      <c r="E188" s="24"/>
      <c r="F188" s="25"/>
      <c r="G188" s="26"/>
      <c r="H188" s="27"/>
      <c r="I188" s="28" t="str">
        <f t="shared" si="31"/>
        <v>N/A</v>
      </c>
      <c r="J188" s="56" t="str">
        <f t="shared" si="32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7"/>
        <v/>
      </c>
      <c r="C189" s="22"/>
      <c r="D189" s="45"/>
      <c r="E189" s="24"/>
      <c r="F189" s="25"/>
      <c r="G189" s="26"/>
      <c r="H189" s="27"/>
      <c r="I189" s="28" t="str">
        <f t="shared" si="31"/>
        <v>N/A</v>
      </c>
      <c r="J189" s="56" t="str">
        <f t="shared" si="32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7"/>
        <v/>
      </c>
      <c r="C190" s="22"/>
      <c r="D190" s="45"/>
      <c r="E190" s="24"/>
      <c r="F190" s="25"/>
      <c r="G190" s="26"/>
      <c r="H190" s="27"/>
      <c r="I190" s="28" t="str">
        <f t="shared" si="31"/>
        <v>N/A</v>
      </c>
      <c r="J190" s="56" t="str">
        <f t="shared" si="32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42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09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10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11"/>
    </row>
    <row r="206" spans="1:11" ht="21.95" customHeight="1" x14ac:dyDescent="0.25">
      <c r="A206" s="20" t="s">
        <v>85</v>
      </c>
      <c r="B206" s="21" t="str">
        <f t="shared" ref="B206:B229" ca="1" si="33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4">IF(F206+G206+H206=0,("N/A"),SUM(F206,G206,H206)/3)</f>
        <v>N/A</v>
      </c>
      <c r="J206" s="72" t="str">
        <f t="shared" ref="J206:J209" si="35">IF(I206="N/A","N/A",I206-E206)</f>
        <v>N/A</v>
      </c>
      <c r="K206" s="71"/>
    </row>
    <row r="207" spans="1:11" ht="21.95" customHeight="1" x14ac:dyDescent="0.25">
      <c r="A207" s="20" t="s">
        <v>84</v>
      </c>
      <c r="B207" s="21" t="str">
        <f t="shared" ca="1" si="33"/>
        <v/>
      </c>
      <c r="C207" s="22"/>
      <c r="D207" s="23"/>
      <c r="E207" s="24"/>
      <c r="F207" s="25"/>
      <c r="G207" s="26"/>
      <c r="H207" s="27"/>
      <c r="I207" s="28" t="str">
        <f t="shared" si="34"/>
        <v>N/A</v>
      </c>
      <c r="J207" s="72" t="str">
        <f t="shared" si="35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3"/>
        <v/>
      </c>
      <c r="C208" s="22"/>
      <c r="D208" s="23"/>
      <c r="E208" s="24"/>
      <c r="F208" s="25"/>
      <c r="G208" s="26"/>
      <c r="H208" s="27"/>
      <c r="I208" s="28" t="str">
        <f t="shared" si="34"/>
        <v>N/A</v>
      </c>
      <c r="J208" s="72" t="str">
        <f t="shared" si="35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3"/>
        <v/>
      </c>
      <c r="C209" s="22"/>
      <c r="D209" s="23"/>
      <c r="E209" s="24"/>
      <c r="F209" s="25"/>
      <c r="G209" s="26"/>
      <c r="H209" s="27"/>
      <c r="I209" s="28" t="str">
        <f t="shared" si="34"/>
        <v>N/A</v>
      </c>
      <c r="J209" s="72" t="str">
        <f t="shared" si="35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3"/>
        <v/>
      </c>
      <c r="C210" s="22"/>
      <c r="D210" s="23"/>
      <c r="E210" s="24"/>
      <c r="F210" s="25"/>
      <c r="G210" s="26"/>
      <c r="H210" s="27"/>
      <c r="I210" s="28" t="str">
        <f t="shared" si="34"/>
        <v>N/A</v>
      </c>
      <c r="J210" s="56" t="str">
        <f>IF(I210="N/A","N/A",I210-E210)</f>
        <v>N/A</v>
      </c>
      <c r="K210" s="71"/>
    </row>
    <row r="211" spans="1:11" ht="21.95" customHeight="1" x14ac:dyDescent="0.25">
      <c r="A211" s="20" t="s">
        <v>10</v>
      </c>
      <c r="B211" s="21" t="str">
        <f t="shared" ca="1" si="33"/>
        <v/>
      </c>
      <c r="C211" s="22"/>
      <c r="D211" s="23"/>
      <c r="E211" s="24"/>
      <c r="F211" s="25"/>
      <c r="G211" s="26"/>
      <c r="H211" s="27"/>
      <c r="I211" s="28" t="str">
        <f t="shared" si="34"/>
        <v>N/A</v>
      </c>
      <c r="J211" s="56" t="str">
        <f t="shared" ref="J211:J218" si="36">IF(I211="N/A","N/A",I211-E211)</f>
        <v>N/A</v>
      </c>
      <c r="K211" s="71"/>
    </row>
    <row r="212" spans="1:11" ht="21.95" customHeight="1" x14ac:dyDescent="0.25">
      <c r="A212" s="20" t="s">
        <v>11</v>
      </c>
      <c r="B212" s="21" t="str">
        <f t="shared" ca="1" si="33"/>
        <v/>
      </c>
      <c r="C212" s="22"/>
      <c r="D212" s="23"/>
      <c r="E212" s="24"/>
      <c r="F212" s="25"/>
      <c r="G212" s="26"/>
      <c r="H212" s="27"/>
      <c r="I212" s="28" t="str">
        <f t="shared" si="34"/>
        <v>N/A</v>
      </c>
      <c r="J212" s="56" t="str">
        <f t="shared" si="36"/>
        <v>N/A</v>
      </c>
      <c r="K212" s="71"/>
    </row>
    <row r="213" spans="1:11" ht="21.95" customHeight="1" x14ac:dyDescent="0.25">
      <c r="A213" s="20" t="s">
        <v>12</v>
      </c>
      <c r="B213" s="21" t="str">
        <f t="shared" ca="1" si="33"/>
        <v/>
      </c>
      <c r="C213" s="22"/>
      <c r="D213" s="23"/>
      <c r="E213" s="24"/>
      <c r="F213" s="25"/>
      <c r="G213" s="26"/>
      <c r="H213" s="27"/>
      <c r="I213" s="28" t="str">
        <f t="shared" si="34"/>
        <v>N/A</v>
      </c>
      <c r="J213" s="56" t="str">
        <f t="shared" si="36"/>
        <v>N/A</v>
      </c>
      <c r="K213" s="71"/>
    </row>
    <row r="214" spans="1:11" ht="21.95" customHeight="1" x14ac:dyDescent="0.25">
      <c r="A214" s="20" t="s">
        <v>13</v>
      </c>
      <c r="B214" s="21" t="str">
        <f t="shared" ca="1" si="33"/>
        <v/>
      </c>
      <c r="C214" s="22"/>
      <c r="D214" s="23"/>
      <c r="E214" s="24"/>
      <c r="F214" s="25"/>
      <c r="G214" s="26"/>
      <c r="H214" s="27"/>
      <c r="I214" s="28" t="str">
        <f t="shared" si="34"/>
        <v>N/A</v>
      </c>
      <c r="J214" s="56" t="str">
        <f t="shared" si="36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3"/>
        <v/>
      </c>
      <c r="C215" s="22"/>
      <c r="D215" s="23"/>
      <c r="E215" s="24"/>
      <c r="F215" s="25"/>
      <c r="G215" s="26"/>
      <c r="H215" s="27"/>
      <c r="I215" s="28" t="str">
        <f t="shared" si="34"/>
        <v>N/A</v>
      </c>
      <c r="J215" s="56" t="str">
        <f t="shared" si="36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3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6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3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6"/>
        <v>N/A</v>
      </c>
      <c r="K217" s="84"/>
    </row>
    <row r="218" spans="1:11" ht="21.95" customHeight="1" x14ac:dyDescent="0.25">
      <c r="A218" s="31" t="s">
        <v>39</v>
      </c>
      <c r="B218" s="21" t="str">
        <f t="shared" ca="1" si="33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6"/>
        <v>N/A</v>
      </c>
      <c r="K218" s="85"/>
    </row>
    <row r="219" spans="1:11" ht="21.95" customHeight="1" x14ac:dyDescent="0.25">
      <c r="A219" s="31" t="s">
        <v>19</v>
      </c>
      <c r="B219" s="21" t="str">
        <f t="shared" ca="1" si="33"/>
        <v/>
      </c>
      <c r="C219" s="22"/>
      <c r="D219" s="23"/>
      <c r="E219" s="24"/>
      <c r="F219" s="25"/>
      <c r="G219" s="26"/>
      <c r="H219" s="27"/>
      <c r="I219" s="28" t="str">
        <f t="shared" ref="I219:I229" si="37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3"/>
        <v/>
      </c>
      <c r="C220" s="22"/>
      <c r="D220" s="23"/>
      <c r="E220" s="24"/>
      <c r="F220" s="25"/>
      <c r="G220" s="26"/>
      <c r="H220" s="27"/>
      <c r="I220" s="28" t="str">
        <f t="shared" si="37"/>
        <v>N/A</v>
      </c>
      <c r="J220" s="56" t="str">
        <f t="shared" ref="J220:J229" si="38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3"/>
        <v/>
      </c>
      <c r="C221" s="22"/>
      <c r="D221" s="23"/>
      <c r="E221" s="24"/>
      <c r="F221" s="25"/>
      <c r="G221" s="26"/>
      <c r="H221" s="27"/>
      <c r="I221" s="28" t="str">
        <f t="shared" si="37"/>
        <v>N/A</v>
      </c>
      <c r="J221" s="56" t="str">
        <f t="shared" si="38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3"/>
        <v/>
      </c>
      <c r="C222" s="22"/>
      <c r="D222" s="23"/>
      <c r="E222" s="24"/>
      <c r="F222" s="25"/>
      <c r="G222" s="26"/>
      <c r="H222" s="27"/>
      <c r="I222" s="28" t="str">
        <f t="shared" si="37"/>
        <v>N/A</v>
      </c>
      <c r="J222" s="56" t="str">
        <f t="shared" si="38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3"/>
        <v/>
      </c>
      <c r="C223" s="22"/>
      <c r="D223" s="45"/>
      <c r="E223" s="24"/>
      <c r="F223" s="25"/>
      <c r="G223" s="26"/>
      <c r="H223" s="27"/>
      <c r="I223" s="28" t="str">
        <f t="shared" si="37"/>
        <v>N/A</v>
      </c>
      <c r="J223" s="56" t="str">
        <f t="shared" si="38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3"/>
        <v/>
      </c>
      <c r="C224" s="22"/>
      <c r="D224" s="23"/>
      <c r="E224" s="24"/>
      <c r="F224" s="25"/>
      <c r="G224" s="26"/>
      <c r="H224" s="27"/>
      <c r="I224" s="28" t="str">
        <f t="shared" si="37"/>
        <v>N/A</v>
      </c>
      <c r="J224" s="56" t="str">
        <f t="shared" si="38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3"/>
        <v/>
      </c>
      <c r="C225" s="22"/>
      <c r="D225" s="45"/>
      <c r="E225" s="24"/>
      <c r="F225" s="25"/>
      <c r="G225" s="26"/>
      <c r="H225" s="27"/>
      <c r="I225" s="28" t="str">
        <f t="shared" si="37"/>
        <v>N/A</v>
      </c>
      <c r="J225" s="56" t="str">
        <f t="shared" si="38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3"/>
        <v/>
      </c>
      <c r="C226" s="22"/>
      <c r="D226" s="45"/>
      <c r="E226" s="24"/>
      <c r="F226" s="25"/>
      <c r="G226" s="26"/>
      <c r="H226" s="27"/>
      <c r="I226" s="28" t="str">
        <f t="shared" si="37"/>
        <v>N/A</v>
      </c>
      <c r="J226" s="56" t="str">
        <f t="shared" si="38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3"/>
        <v/>
      </c>
      <c r="C227" s="22"/>
      <c r="D227" s="45"/>
      <c r="E227" s="24"/>
      <c r="F227" s="25"/>
      <c r="G227" s="26"/>
      <c r="H227" s="27"/>
      <c r="I227" s="28" t="str">
        <f t="shared" si="37"/>
        <v>N/A</v>
      </c>
      <c r="J227" s="56" t="str">
        <f t="shared" si="38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3"/>
        <v/>
      </c>
      <c r="C228" s="22"/>
      <c r="D228" s="45"/>
      <c r="E228" s="24"/>
      <c r="F228" s="25"/>
      <c r="G228" s="26"/>
      <c r="H228" s="27"/>
      <c r="I228" s="28" t="str">
        <f t="shared" si="37"/>
        <v>N/A</v>
      </c>
      <c r="J228" s="56" t="str">
        <f t="shared" si="38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3"/>
        <v/>
      </c>
      <c r="C229" s="22"/>
      <c r="D229" s="45"/>
      <c r="E229" s="24"/>
      <c r="F229" s="25"/>
      <c r="G229" s="26"/>
      <c r="H229" s="27"/>
      <c r="I229" s="28" t="str">
        <f t="shared" si="37"/>
        <v>N/A</v>
      </c>
      <c r="J229" s="56" t="str">
        <f t="shared" si="38"/>
        <v>N/A</v>
      </c>
      <c r="K229" s="83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55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H6:H8"/>
    <mergeCell ref="I6:I8"/>
    <mergeCell ref="J6:J8"/>
    <mergeCell ref="C1:E1"/>
    <mergeCell ref="F1:G1"/>
    <mergeCell ref="A3:D5"/>
    <mergeCell ref="E3:J5"/>
    <mergeCell ref="A6:A8"/>
    <mergeCell ref="B6:B8"/>
    <mergeCell ref="C6:C8"/>
    <mergeCell ref="D6:D8"/>
    <mergeCell ref="E6:E8"/>
    <mergeCell ref="F6:F8"/>
    <mergeCell ref="A77:E77"/>
    <mergeCell ref="A122:D124"/>
    <mergeCell ref="E122:J124"/>
    <mergeCell ref="A125:A127"/>
    <mergeCell ref="B125:B127"/>
    <mergeCell ref="G164:G166"/>
    <mergeCell ref="H164:H166"/>
    <mergeCell ref="I164:I166"/>
    <mergeCell ref="J164:J166"/>
    <mergeCell ref="C81:E81"/>
    <mergeCell ref="F81:G81"/>
    <mergeCell ref="A83:D85"/>
    <mergeCell ref="E83:J85"/>
    <mergeCell ref="A86:A88"/>
    <mergeCell ref="B86:B88"/>
    <mergeCell ref="C86:C88"/>
    <mergeCell ref="D86:D88"/>
    <mergeCell ref="E86:E88"/>
    <mergeCell ref="F86:F88"/>
    <mergeCell ref="A234:E234"/>
    <mergeCell ref="I125:I127"/>
    <mergeCell ref="J125:J127"/>
    <mergeCell ref="C159:E159"/>
    <mergeCell ref="F159:G159"/>
    <mergeCell ref="C125:C127"/>
    <mergeCell ref="D125:D127"/>
    <mergeCell ref="E125:E127"/>
    <mergeCell ref="F125:F127"/>
    <mergeCell ref="G125:G127"/>
    <mergeCell ref="H125:H127"/>
    <mergeCell ref="A161:D163"/>
    <mergeCell ref="E161:J163"/>
    <mergeCell ref="A164:A166"/>
    <mergeCell ref="B164:B166"/>
    <mergeCell ref="C164:C166"/>
    <mergeCell ref="D164:D166"/>
    <mergeCell ref="E164:E166"/>
    <mergeCell ref="F164:F166"/>
    <mergeCell ref="A156:E156"/>
    <mergeCell ref="K3:K5"/>
    <mergeCell ref="K6:K8"/>
    <mergeCell ref="A33:E33"/>
    <mergeCell ref="A35:E35"/>
    <mergeCell ref="A37:E37"/>
    <mergeCell ref="K43:K45"/>
    <mergeCell ref="K46:K48"/>
    <mergeCell ref="A73:E73"/>
    <mergeCell ref="A75:E75"/>
    <mergeCell ref="F46:F48"/>
    <mergeCell ref="G46:G48"/>
    <mergeCell ref="H46:H48"/>
    <mergeCell ref="I46:I48"/>
    <mergeCell ref="J46:J48"/>
    <mergeCell ref="C41:E41"/>
    <mergeCell ref="F41:G41"/>
    <mergeCell ref="A43:D45"/>
    <mergeCell ref="E43:J45"/>
    <mergeCell ref="A46:A48"/>
    <mergeCell ref="B46:B48"/>
    <mergeCell ref="C46:C48"/>
    <mergeCell ref="D46:D48"/>
    <mergeCell ref="E46:E48"/>
    <mergeCell ref="G6:G8"/>
    <mergeCell ref="K83:K85"/>
    <mergeCell ref="K86:K88"/>
    <mergeCell ref="A113:E113"/>
    <mergeCell ref="A115:E115"/>
    <mergeCell ref="A117:E117"/>
    <mergeCell ref="K122:K124"/>
    <mergeCell ref="K125:K127"/>
    <mergeCell ref="A152:E152"/>
    <mergeCell ref="A154:E154"/>
    <mergeCell ref="G86:G88"/>
    <mergeCell ref="H86:H88"/>
    <mergeCell ref="I86:I88"/>
    <mergeCell ref="J86:J88"/>
    <mergeCell ref="C120:E120"/>
    <mergeCell ref="F120:G120"/>
    <mergeCell ref="K161:K163"/>
    <mergeCell ref="K164:K166"/>
    <mergeCell ref="A191:E191"/>
    <mergeCell ref="A193:E193"/>
    <mergeCell ref="A195:E195"/>
    <mergeCell ref="K200:K202"/>
    <mergeCell ref="K203:K205"/>
    <mergeCell ref="A230:E230"/>
    <mergeCell ref="A232:E232"/>
    <mergeCell ref="J203:J205"/>
    <mergeCell ref="C198:E198"/>
    <mergeCell ref="F198:G198"/>
    <mergeCell ref="A200:D202"/>
    <mergeCell ref="E200:J202"/>
    <mergeCell ref="A203:A205"/>
    <mergeCell ref="B203:B205"/>
    <mergeCell ref="C203:C205"/>
    <mergeCell ref="D203:D205"/>
    <mergeCell ref="E203:E205"/>
    <mergeCell ref="F203:F205"/>
    <mergeCell ref="G203:G205"/>
    <mergeCell ref="H203:H205"/>
    <mergeCell ref="I203:I205"/>
  </mergeCells>
  <conditionalFormatting sqref="F9:F32">
    <cfRule type="expression" dxfId="144" priority="80">
      <formula>IF(NOT(ISBLANK($F9)),$E9&gt;$F9,FALSE)</formula>
    </cfRule>
  </conditionalFormatting>
  <conditionalFormatting sqref="G9:G32">
    <cfRule type="expression" dxfId="143" priority="79">
      <formula>IF(NOT(ISBLANK($G9)),$E9&gt;$G9,FALSE)</formula>
    </cfRule>
  </conditionalFormatting>
  <conditionalFormatting sqref="H9:H32">
    <cfRule type="expression" dxfId="142" priority="78">
      <formula>IF(NOT(ISBLANK($H9)),$E9&gt;$H9,FALSE)</formula>
    </cfRule>
  </conditionalFormatting>
  <conditionalFormatting sqref="I9:I32">
    <cfRule type="expression" dxfId="141" priority="77">
      <formula>IF(NOT(ISBLANK($I9)),$E9&gt;$I9,FALSE)</formula>
    </cfRule>
  </conditionalFormatting>
  <conditionalFormatting sqref="J9:J32">
    <cfRule type="expression" dxfId="140" priority="76">
      <formula>IF($J9&lt;&gt;"N/A",OR($J9&lt;0,$J9&gt;10),FALSE)</formula>
    </cfRule>
  </conditionalFormatting>
  <conditionalFormatting sqref="F49:F72">
    <cfRule type="expression" dxfId="139" priority="25">
      <formula>IF(NOT(ISBLANK($F49)),$E49&gt;$F49,FALSE)</formula>
    </cfRule>
  </conditionalFormatting>
  <conditionalFormatting sqref="G49:G72">
    <cfRule type="expression" dxfId="138" priority="24">
      <formula>IF(NOT(ISBLANK($G49)),$E49&gt;$G49,FALSE)</formula>
    </cfRule>
  </conditionalFormatting>
  <conditionalFormatting sqref="H49:H72">
    <cfRule type="expression" dxfId="137" priority="23">
      <formula>IF(NOT(ISBLANK($H49)),$E49&gt;$H49,FALSE)</formula>
    </cfRule>
  </conditionalFormatting>
  <conditionalFormatting sqref="I49:I72">
    <cfRule type="expression" dxfId="136" priority="22">
      <formula>IF(NOT(ISBLANK($I49)),$E49&gt;$I49,FALSE)</formula>
    </cfRule>
  </conditionalFormatting>
  <conditionalFormatting sqref="J49:J72">
    <cfRule type="expression" dxfId="135" priority="21">
      <formula>IF($J49&lt;&gt;"N/A",OR($J49&lt;0,$J49&gt;10),FALSE)</formula>
    </cfRule>
  </conditionalFormatting>
  <conditionalFormatting sqref="F89:F112">
    <cfRule type="expression" dxfId="134" priority="20">
      <formula>IF(NOT(ISBLANK($F89)),$E89&gt;$F89,FALSE)</formula>
    </cfRule>
  </conditionalFormatting>
  <conditionalFormatting sqref="G89:G112">
    <cfRule type="expression" dxfId="133" priority="19">
      <formula>IF(NOT(ISBLANK($G89)),$E89&gt;$G89,FALSE)</formula>
    </cfRule>
  </conditionalFormatting>
  <conditionalFormatting sqref="H89:H112">
    <cfRule type="expression" dxfId="132" priority="18">
      <formula>IF(NOT(ISBLANK($H89)),$E89&gt;$H89,FALSE)</formula>
    </cfRule>
  </conditionalFormatting>
  <conditionalFormatting sqref="I89:I112">
    <cfRule type="expression" dxfId="131" priority="17">
      <formula>IF(NOT(ISBLANK($I89)),$E89&gt;$I89,FALSE)</formula>
    </cfRule>
  </conditionalFormatting>
  <conditionalFormatting sqref="J89:J112">
    <cfRule type="expression" dxfId="130" priority="16">
      <formula>IF($J89&lt;&gt;"N/A",OR($J89&lt;0,$J89&gt;10),FALSE)</formula>
    </cfRule>
  </conditionalFormatting>
  <conditionalFormatting sqref="F128:F151">
    <cfRule type="expression" dxfId="129" priority="15">
      <formula>IF(NOT(ISBLANK($F128)),$E128&gt;$F128,FALSE)</formula>
    </cfRule>
  </conditionalFormatting>
  <conditionalFormatting sqref="G128:G151">
    <cfRule type="expression" dxfId="128" priority="14">
      <formula>IF(NOT(ISBLANK($G128)),$E128&gt;$G128,FALSE)</formula>
    </cfRule>
  </conditionalFormatting>
  <conditionalFormatting sqref="H128:H151">
    <cfRule type="expression" dxfId="127" priority="13">
      <formula>IF(NOT(ISBLANK($H128)),$E128&gt;$H128,FALSE)</formula>
    </cfRule>
  </conditionalFormatting>
  <conditionalFormatting sqref="I128:I151">
    <cfRule type="expression" dxfId="126" priority="12">
      <formula>IF(NOT(ISBLANK($I128)),$E128&gt;$I128,FALSE)</formula>
    </cfRule>
  </conditionalFormatting>
  <conditionalFormatting sqref="J128:J151">
    <cfRule type="expression" dxfId="125" priority="11">
      <formula>IF($J128&lt;&gt;"N/A",OR($J128&lt;0,$J128&gt;10),FALSE)</formula>
    </cfRule>
  </conditionalFormatting>
  <conditionalFormatting sqref="F167:F190">
    <cfRule type="expression" dxfId="124" priority="10">
      <formula>IF(NOT(ISBLANK($F167)),$E167&gt;$F167,FALSE)</formula>
    </cfRule>
  </conditionalFormatting>
  <conditionalFormatting sqref="G167:G190">
    <cfRule type="expression" dxfId="123" priority="9">
      <formula>IF(NOT(ISBLANK($G167)),$E167&gt;$G167,FALSE)</formula>
    </cfRule>
  </conditionalFormatting>
  <conditionalFormatting sqref="H167:H190">
    <cfRule type="expression" dxfId="122" priority="8">
      <formula>IF(NOT(ISBLANK($H167)),$E167&gt;$H167,FALSE)</formula>
    </cfRule>
  </conditionalFormatting>
  <conditionalFormatting sqref="I167:I190">
    <cfRule type="expression" dxfId="121" priority="7">
      <formula>IF(NOT(ISBLANK($I167)),$E167&gt;$I167,FALSE)</formula>
    </cfRule>
  </conditionalFormatting>
  <conditionalFormatting sqref="J167:J190">
    <cfRule type="expression" dxfId="120" priority="6">
      <formula>IF($J167&lt;&gt;"N/A",OR($J167&lt;0,$J167&gt;10),FALSE)</formula>
    </cfRule>
  </conditionalFormatting>
  <conditionalFormatting sqref="F206:F229">
    <cfRule type="expression" dxfId="119" priority="5">
      <formula>IF(NOT(ISBLANK($F206)),$E206&gt;$F206,FALSE)</formula>
    </cfRule>
  </conditionalFormatting>
  <conditionalFormatting sqref="G206:G229">
    <cfRule type="expression" dxfId="118" priority="4">
      <formula>IF(NOT(ISBLANK($G206)),$E206&gt;$G206,FALSE)</formula>
    </cfRule>
  </conditionalFormatting>
  <conditionalFormatting sqref="H206:H229">
    <cfRule type="expression" dxfId="117" priority="3">
      <formula>IF(NOT(ISBLANK($H206)),$E206&gt;$H206,FALSE)</formula>
    </cfRule>
  </conditionalFormatting>
  <conditionalFormatting sqref="I206:I229">
    <cfRule type="expression" dxfId="116" priority="2">
      <formula>IF(NOT(ISBLANK($I206)),$E206&gt;$I206,FALSE)</formula>
    </cfRule>
  </conditionalFormatting>
  <conditionalFormatting sqref="J206:J229">
    <cfRule type="expression" dxfId="115" priority="1">
      <formula>IF($J206&lt;&gt;"N/A",OR($J206&lt;0,$J206&gt;10),FALSE)</formula>
    </cfRule>
  </conditionalFormatting>
  <dataValidations count="2"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7"/>
  <sheetViews>
    <sheetView zoomScaleNormal="100" zoomScaleSheetLayoutView="100" workbookViewId="0">
      <selection activeCell="C1" sqref="C1:E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46">
        <f ca="1">WEEKNUM(TODAY(),1)</f>
        <v>15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43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72" t="str">
        <f t="shared" si="2"/>
        <v>N/A</v>
      </c>
      <c r="K12" s="71"/>
      <c r="O12" s="53"/>
    </row>
    <row r="13" spans="1:15" ht="21.95" customHeight="1" x14ac:dyDescent="0.25">
      <c r="A13" s="20" t="s">
        <v>9</v>
      </c>
      <c r="B13" s="21" t="str">
        <f t="shared" ca="1" si="0"/>
        <v/>
      </c>
      <c r="C13" s="22"/>
      <c r="D13" s="23"/>
      <c r="E13" s="24"/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70"/>
    </row>
    <row r="14" spans="1:15" ht="21.95" customHeight="1" x14ac:dyDescent="0.25">
      <c r="A14" s="20" t="s">
        <v>10</v>
      </c>
      <c r="B14" s="21" t="str">
        <f t="shared" ca="1" si="0"/>
        <v/>
      </c>
      <c r="C14" s="22"/>
      <c r="D14" s="23"/>
      <c r="E14" s="24"/>
      <c r="F14" s="25"/>
      <c r="G14" s="26"/>
      <c r="H14" s="27"/>
      <c r="I14" s="28" t="str">
        <f t="shared" si="1"/>
        <v>N/A</v>
      </c>
      <c r="J14" s="56" t="str">
        <f t="shared" ref="J14:J21" si="3">IF(I14="N/A","N/A",I14-E14)</f>
        <v>N/A</v>
      </c>
      <c r="K14" s="70"/>
    </row>
    <row r="15" spans="1:15" ht="21.95" customHeight="1" x14ac:dyDescent="0.25">
      <c r="A15" s="20" t="s">
        <v>11</v>
      </c>
      <c r="B15" s="21" t="str">
        <f t="shared" ca="1" si="0"/>
        <v/>
      </c>
      <c r="C15" s="22"/>
      <c r="D15" s="23"/>
      <c r="E15" s="24"/>
      <c r="F15" s="25"/>
      <c r="G15" s="26"/>
      <c r="H15" s="27"/>
      <c r="I15" s="28" t="str">
        <f t="shared" si="1"/>
        <v>N/A</v>
      </c>
      <c r="J15" s="56" t="str">
        <f t="shared" si="3"/>
        <v>N/A</v>
      </c>
      <c r="K15" s="70"/>
    </row>
    <row r="16" spans="1:15" ht="21.95" customHeight="1" x14ac:dyDescent="0.25">
      <c r="A16" s="20" t="s">
        <v>12</v>
      </c>
      <c r="B16" s="21" t="str">
        <f t="shared" ca="1" si="0"/>
        <v/>
      </c>
      <c r="C16" s="22"/>
      <c r="D16" s="23"/>
      <c r="E16" s="24"/>
      <c r="F16" s="25"/>
      <c r="G16" s="26"/>
      <c r="H16" s="27"/>
      <c r="I16" s="28" t="str">
        <f t="shared" si="1"/>
        <v>N/A</v>
      </c>
      <c r="J16" s="56" t="str">
        <f t="shared" si="3"/>
        <v>N/A</v>
      </c>
      <c r="K16" s="70"/>
    </row>
    <row r="17" spans="1:11" ht="21.95" customHeight="1" x14ac:dyDescent="0.25">
      <c r="A17" s="20" t="s">
        <v>13</v>
      </c>
      <c r="B17" s="21" t="str">
        <f t="shared" ca="1" si="0"/>
        <v/>
      </c>
      <c r="C17" s="22"/>
      <c r="D17" s="23"/>
      <c r="E17" s="24"/>
      <c r="F17" s="25"/>
      <c r="G17" s="26"/>
      <c r="H17" s="27"/>
      <c r="I17" s="28" t="str">
        <f t="shared" si="1"/>
        <v>N/A</v>
      </c>
      <c r="J17" s="56" t="str">
        <f t="shared" si="3"/>
        <v>N/A</v>
      </c>
      <c r="K17" s="70"/>
    </row>
    <row r="18" spans="1:11" ht="21.95" customHeight="1" x14ac:dyDescent="0.25">
      <c r="A18" s="20" t="s">
        <v>14</v>
      </c>
      <c r="B18" s="21" t="str">
        <f t="shared" ca="1" si="0"/>
        <v/>
      </c>
      <c r="C18" s="22"/>
      <c r="D18" s="23"/>
      <c r="E18" s="24"/>
      <c r="F18" s="25"/>
      <c r="G18" s="26"/>
      <c r="H18" s="27"/>
      <c r="I18" s="28" t="str">
        <f t="shared" si="1"/>
        <v>N/A</v>
      </c>
      <c r="J18" s="56" t="str">
        <f t="shared" si="3"/>
        <v>N/A</v>
      </c>
      <c r="K18" s="70"/>
    </row>
    <row r="19" spans="1:11" ht="21.95" customHeight="1" x14ac:dyDescent="0.25">
      <c r="A19" s="20" t="s">
        <v>15</v>
      </c>
      <c r="B19" s="21" t="str">
        <f t="shared" ca="1" si="0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3"/>
        <v>N/A</v>
      </c>
      <c r="K19" s="70"/>
    </row>
    <row r="20" spans="1:11" ht="21.95" customHeight="1" x14ac:dyDescent="0.25">
      <c r="A20" s="30" t="s">
        <v>16</v>
      </c>
      <c r="B20" s="21" t="str">
        <f t="shared" ca="1" si="0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si="3"/>
        <v>N/A</v>
      </c>
      <c r="K20" s="83"/>
    </row>
    <row r="21" spans="1:11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3"/>
        <v>N/A</v>
      </c>
      <c r="K21" s="71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2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2" si="5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4"/>
        <v>N/A</v>
      </c>
      <c r="J24" s="56" t="str">
        <f t="shared" si="5"/>
        <v>N/A</v>
      </c>
      <c r="K24" s="70"/>
    </row>
    <row r="25" spans="1:11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4"/>
        <v>N/A</v>
      </c>
      <c r="J25" s="56" t="str">
        <f t="shared" si="5"/>
        <v>N/A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4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 t="str">
        <f>IF(COUNT(J9:J20),AVERAGE(J9:J20),"N/A")</f>
        <v>N/A</v>
      </c>
      <c r="G33" s="58"/>
      <c r="H33" s="58"/>
      <c r="I33" s="79"/>
      <c r="K33" s="86"/>
    </row>
    <row r="34" spans="1:11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 t="str">
        <f>IF(COUNT(J21:J32),AVERAGE(J21:J32),"N/A")</f>
        <v>N/A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 t="str">
        <f>IF(COUNT(J9:J32),AVERAGE(J9:J32),"N/A")</f>
        <v>N/A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1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43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44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45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45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2" si="8">IF(I49="N/A","N/A",I49-E49)</f>
        <v>N/A</v>
      </c>
      <c r="K49" s="85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 t="str">
        <f t="shared" ca="1" si="6"/>
        <v/>
      </c>
      <c r="C52" s="22"/>
      <c r="D52" s="23"/>
      <c r="E52" s="24"/>
      <c r="F52" s="25"/>
      <c r="G52" s="26"/>
      <c r="H52" s="27"/>
      <c r="I52" s="28" t="str">
        <f t="shared" si="7"/>
        <v>N/A</v>
      </c>
      <c r="J52" s="72" t="str">
        <f t="shared" si="8"/>
        <v>N/A</v>
      </c>
      <c r="K52" s="71"/>
    </row>
    <row r="53" spans="1:11" ht="21.95" customHeight="1" x14ac:dyDescent="0.25">
      <c r="A53" s="20" t="s">
        <v>9</v>
      </c>
      <c r="B53" s="21" t="str">
        <f t="shared" ca="1" si="6"/>
        <v/>
      </c>
      <c r="C53" s="22"/>
      <c r="D53" s="23"/>
      <c r="E53" s="24"/>
      <c r="F53" s="25"/>
      <c r="G53" s="26"/>
      <c r="H53" s="27"/>
      <c r="I53" s="28" t="str">
        <f t="shared" si="7"/>
        <v>N/A</v>
      </c>
      <c r="J53" s="56" t="str">
        <f>IF(I53="N/A","N/A",I53-E53)</f>
        <v>N/A</v>
      </c>
      <c r="K53" s="70"/>
    </row>
    <row r="54" spans="1:11" ht="21.95" customHeight="1" x14ac:dyDescent="0.25">
      <c r="A54" s="20" t="s">
        <v>10</v>
      </c>
      <c r="B54" s="21" t="str">
        <f t="shared" ca="1" si="6"/>
        <v/>
      </c>
      <c r="C54" s="22"/>
      <c r="D54" s="23"/>
      <c r="E54" s="24"/>
      <c r="F54" s="25"/>
      <c r="G54" s="26"/>
      <c r="H54" s="27"/>
      <c r="I54" s="28" t="str">
        <f t="shared" si="7"/>
        <v>N/A</v>
      </c>
      <c r="J54" s="56" t="str">
        <f t="shared" ref="J54:J61" si="9">IF(I54="N/A","N/A",I54-E54)</f>
        <v>N/A</v>
      </c>
      <c r="K54" s="70"/>
    </row>
    <row r="55" spans="1:11" ht="21.95" customHeight="1" x14ac:dyDescent="0.25">
      <c r="A55" s="20" t="s">
        <v>11</v>
      </c>
      <c r="B55" s="21" t="str">
        <f t="shared" ca="1" si="6"/>
        <v/>
      </c>
      <c r="C55" s="22"/>
      <c r="D55" s="23"/>
      <c r="E55" s="24"/>
      <c r="F55" s="25"/>
      <c r="G55" s="26"/>
      <c r="H55" s="27"/>
      <c r="I55" s="28" t="str">
        <f t="shared" si="7"/>
        <v>N/A</v>
      </c>
      <c r="J55" s="56" t="str">
        <f t="shared" si="9"/>
        <v>N/A</v>
      </c>
      <c r="K55" s="70"/>
    </row>
    <row r="56" spans="1:11" ht="21.95" customHeight="1" x14ac:dyDescent="0.25">
      <c r="A56" s="20" t="s">
        <v>12</v>
      </c>
      <c r="B56" s="21" t="str">
        <f t="shared" ca="1" si="6"/>
        <v/>
      </c>
      <c r="C56" s="22"/>
      <c r="D56" s="23"/>
      <c r="E56" s="24"/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3"/>
    </row>
    <row r="61" spans="1:11" ht="21.95" customHeight="1" x14ac:dyDescent="0.25">
      <c r="A61" s="31" t="s">
        <v>39</v>
      </c>
      <c r="B61" s="21" t="str">
        <f t="shared" ca="1" si="6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9"/>
        <v>N/A</v>
      </c>
      <c r="K61" s="71"/>
    </row>
    <row r="62" spans="1:11" ht="21.95" customHeight="1" x14ac:dyDescent="0.25">
      <c r="A62" s="31" t="s">
        <v>19</v>
      </c>
      <c r="B62" s="21" t="str">
        <f t="shared" ca="1" si="6"/>
        <v/>
      </c>
      <c r="C62" s="22"/>
      <c r="D62" s="23"/>
      <c r="E62" s="24"/>
      <c r="F62" s="25"/>
      <c r="G62" s="26"/>
      <c r="H62" s="27"/>
      <c r="I62" s="28" t="str">
        <f t="shared" ref="I62:I72" si="10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 t="str">
        <f t="shared" ca="1" si="6"/>
        <v/>
      </c>
      <c r="C64" s="22"/>
      <c r="D64" s="23"/>
      <c r="E64" s="24"/>
      <c r="F64" s="25"/>
      <c r="G64" s="26"/>
      <c r="H64" s="27"/>
      <c r="I64" s="28" t="str">
        <f t="shared" si="10"/>
        <v>N/A</v>
      </c>
      <c r="J64" s="56" t="str">
        <f t="shared" si="11"/>
        <v>N/A</v>
      </c>
      <c r="K64" s="70"/>
    </row>
    <row r="65" spans="1:11" ht="21.95" customHeight="1" x14ac:dyDescent="0.25">
      <c r="A65" s="31" t="s">
        <v>2</v>
      </c>
      <c r="B65" s="21" t="str">
        <f t="shared" ca="1" si="6"/>
        <v/>
      </c>
      <c r="C65" s="22"/>
      <c r="D65" s="23"/>
      <c r="E65" s="24"/>
      <c r="F65" s="25"/>
      <c r="G65" s="26"/>
      <c r="H65" s="27"/>
      <c r="I65" s="28" t="str">
        <f t="shared" si="10"/>
        <v>N/A</v>
      </c>
      <c r="J65" s="56" t="str">
        <f t="shared" si="11"/>
        <v>N/A</v>
      </c>
      <c r="K65" s="70"/>
    </row>
    <row r="66" spans="1:11" ht="21.95" customHeight="1" x14ac:dyDescent="0.3">
      <c r="A66" s="31" t="s">
        <v>22</v>
      </c>
      <c r="B66" s="21" t="str">
        <f t="shared" ca="1" si="6"/>
        <v/>
      </c>
      <c r="C66" s="22"/>
      <c r="D66" s="45"/>
      <c r="E66" s="24"/>
      <c r="F66" s="25"/>
      <c r="G66" s="26"/>
      <c r="H66" s="27"/>
      <c r="I66" s="28" t="str">
        <f t="shared" si="10"/>
        <v>N/A</v>
      </c>
      <c r="J66" s="56" t="str">
        <f t="shared" si="11"/>
        <v>N/A</v>
      </c>
      <c r="K66" s="70"/>
    </row>
    <row r="67" spans="1:11" ht="21.95" customHeight="1" x14ac:dyDescent="0.25">
      <c r="A67" s="31" t="s">
        <v>23</v>
      </c>
      <c r="B67" s="21" t="str">
        <f t="shared" ca="1" si="6"/>
        <v/>
      </c>
      <c r="C67" s="22"/>
      <c r="D67" s="23"/>
      <c r="E67" s="24"/>
      <c r="F67" s="25"/>
      <c r="G67" s="26"/>
      <c r="H67" s="27"/>
      <c r="I67" s="28" t="str">
        <f t="shared" si="10"/>
        <v>N/A</v>
      </c>
      <c r="J67" s="56" t="str">
        <f t="shared" si="11"/>
        <v>N/A</v>
      </c>
      <c r="K67" s="70"/>
    </row>
    <row r="68" spans="1:11" ht="21.95" customHeight="1" x14ac:dyDescent="0.3">
      <c r="A68" s="31" t="s">
        <v>24</v>
      </c>
      <c r="B68" s="21" t="str">
        <f t="shared" ca="1" si="6"/>
        <v/>
      </c>
      <c r="C68" s="22"/>
      <c r="D68" s="45"/>
      <c r="E68" s="24"/>
      <c r="F68" s="25"/>
      <c r="G68" s="26"/>
      <c r="H68" s="27"/>
      <c r="I68" s="28" t="str">
        <f t="shared" si="10"/>
        <v>N/A</v>
      </c>
      <c r="J68" s="56" t="str">
        <f t="shared" si="11"/>
        <v>N/A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 t="str">
        <f>IF(COUNT(J49:J60),AVERAGE(J49:J60),"N/A")</f>
        <v>N/A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 t="str">
        <f>IF(COUNT(J61:J72),AVERAGE(J61:J72),"N/A")</f>
        <v>N/A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 t="str">
        <f>IF(COUNT(J49:J72),AVERAGE(J49:J72),"N/A")</f>
        <v>N/A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/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43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 t="str">
        <f t="shared" ref="B89:B112" ca="1" si="12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3">IF(F89+G89+H89=0,("N/A"),SUM(F89,G89,H89)/3)</f>
        <v>N/A</v>
      </c>
      <c r="J89" s="72" t="str">
        <f t="shared" ref="J89:J92" si="14">IF(I89="N/A","N/A",I89-E89)</f>
        <v>N/A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/>
      <c r="D90" s="23"/>
      <c r="E90" s="24"/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/>
      <c r="D91" s="23"/>
      <c r="E91" s="24"/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 t="str">
        <f t="shared" ca="1" si="12"/>
        <v/>
      </c>
      <c r="C92" s="22"/>
      <c r="D92" s="23"/>
      <c r="E92" s="24"/>
      <c r="F92" s="25"/>
      <c r="G92" s="26"/>
      <c r="H92" s="27"/>
      <c r="I92" s="28" t="str">
        <f t="shared" si="13"/>
        <v>N/A</v>
      </c>
      <c r="J92" s="72" t="str">
        <f t="shared" si="14"/>
        <v>N/A</v>
      </c>
      <c r="K92" s="71"/>
    </row>
    <row r="93" spans="1:11" ht="21.95" customHeight="1" x14ac:dyDescent="0.25">
      <c r="A93" s="20" t="s">
        <v>9</v>
      </c>
      <c r="B93" s="21" t="str">
        <f t="shared" ca="1" si="12"/>
        <v/>
      </c>
      <c r="C93" s="22"/>
      <c r="D93" s="23"/>
      <c r="E93" s="24"/>
      <c r="F93" s="25"/>
      <c r="G93" s="26"/>
      <c r="H93" s="27"/>
      <c r="I93" s="28" t="str">
        <f t="shared" si="13"/>
        <v>N/A</v>
      </c>
      <c r="J93" s="56" t="str">
        <f>IF(I93="N/A","N/A",I93-E93)</f>
        <v>N/A</v>
      </c>
      <c r="K93" s="70"/>
    </row>
    <row r="94" spans="1:11" ht="21.95" customHeight="1" x14ac:dyDescent="0.25">
      <c r="A94" s="20" t="s">
        <v>10</v>
      </c>
      <c r="B94" s="21" t="str">
        <f t="shared" ca="1" si="12"/>
        <v/>
      </c>
      <c r="C94" s="22"/>
      <c r="D94" s="23"/>
      <c r="E94" s="24"/>
      <c r="F94" s="25"/>
      <c r="G94" s="26"/>
      <c r="H94" s="27"/>
      <c r="I94" s="28" t="str">
        <f t="shared" si="13"/>
        <v>N/A</v>
      </c>
      <c r="J94" s="56" t="str">
        <f t="shared" ref="J94:J101" si="15">IF(I94="N/A","N/A",I94-E94)</f>
        <v>N/A</v>
      </c>
      <c r="K94" s="70"/>
    </row>
    <row r="95" spans="1:11" ht="21.95" customHeight="1" x14ac:dyDescent="0.25">
      <c r="A95" s="20" t="s">
        <v>11</v>
      </c>
      <c r="B95" s="21" t="str">
        <f t="shared" ca="1" si="12"/>
        <v/>
      </c>
      <c r="C95" s="22"/>
      <c r="D95" s="23"/>
      <c r="E95" s="24"/>
      <c r="F95" s="25"/>
      <c r="G95" s="26"/>
      <c r="H95" s="27"/>
      <c r="I95" s="28" t="str">
        <f t="shared" si="13"/>
        <v>N/A</v>
      </c>
      <c r="J95" s="56" t="str">
        <f t="shared" si="15"/>
        <v>N/A</v>
      </c>
      <c r="K95" s="70"/>
    </row>
    <row r="96" spans="1:11" ht="21.95" customHeight="1" x14ac:dyDescent="0.25">
      <c r="A96" s="20" t="s">
        <v>12</v>
      </c>
      <c r="B96" s="21" t="str">
        <f t="shared" ca="1" si="12"/>
        <v/>
      </c>
      <c r="C96" s="22"/>
      <c r="D96" s="23"/>
      <c r="E96" s="24"/>
      <c r="F96" s="25"/>
      <c r="G96" s="26"/>
      <c r="H96" s="27"/>
      <c r="I96" s="28" t="str">
        <f t="shared" si="13"/>
        <v>N/A</v>
      </c>
      <c r="J96" s="56" t="str">
        <f t="shared" si="15"/>
        <v>N/A</v>
      </c>
      <c r="K96" s="70"/>
    </row>
    <row r="97" spans="1:11" ht="21.95" customHeight="1" x14ac:dyDescent="0.25">
      <c r="A97" s="20" t="s">
        <v>13</v>
      </c>
      <c r="B97" s="21" t="str">
        <f t="shared" ca="1" si="12"/>
        <v/>
      </c>
      <c r="C97" s="22"/>
      <c r="D97" s="23"/>
      <c r="E97" s="24"/>
      <c r="F97" s="25"/>
      <c r="G97" s="26"/>
      <c r="H97" s="27"/>
      <c r="I97" s="28" t="str">
        <f t="shared" si="13"/>
        <v>N/A</v>
      </c>
      <c r="J97" s="56" t="str">
        <f t="shared" si="15"/>
        <v>N/A</v>
      </c>
      <c r="K97" s="70"/>
    </row>
    <row r="98" spans="1:11" ht="21.95" customHeight="1" x14ac:dyDescent="0.25">
      <c r="A98" s="20" t="s">
        <v>14</v>
      </c>
      <c r="B98" s="21" t="str">
        <f t="shared" ca="1" si="12"/>
        <v/>
      </c>
      <c r="C98" s="22"/>
      <c r="D98" s="23"/>
      <c r="E98" s="24"/>
      <c r="F98" s="25"/>
      <c r="G98" s="26"/>
      <c r="H98" s="27"/>
      <c r="I98" s="28" t="str">
        <f t="shared" si="13"/>
        <v>N/A</v>
      </c>
      <c r="J98" s="56" t="str">
        <f t="shared" si="15"/>
        <v>N/A</v>
      </c>
      <c r="K98" s="70"/>
    </row>
    <row r="99" spans="1:11" ht="21.95" customHeight="1" x14ac:dyDescent="0.25">
      <c r="A99" s="20" t="s">
        <v>15</v>
      </c>
      <c r="B99" s="21" t="str">
        <f t="shared" ca="1" si="12"/>
        <v/>
      </c>
      <c r="C99" s="22"/>
      <c r="D99" s="23"/>
      <c r="E99" s="24"/>
      <c r="F99" s="25"/>
      <c r="G99" s="26"/>
      <c r="H99" s="27"/>
      <c r="I99" s="28" t="str">
        <f>IF(F99+G99+H99=0,("N/A"),SUM(F99,G99,H99)/3)</f>
        <v>N/A</v>
      </c>
      <c r="J99" s="56" t="str">
        <f t="shared" si="15"/>
        <v>N/A</v>
      </c>
      <c r="K99" s="70"/>
    </row>
    <row r="100" spans="1:11" ht="21.95" customHeight="1" x14ac:dyDescent="0.25">
      <c r="A100" s="30" t="s">
        <v>16</v>
      </c>
      <c r="B100" s="21" t="str">
        <f t="shared" ca="1" si="12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15"/>
        <v>N/A</v>
      </c>
      <c r="K100" s="84"/>
    </row>
    <row r="101" spans="1:11" ht="21.95" customHeight="1" x14ac:dyDescent="0.25">
      <c r="A101" s="31" t="s">
        <v>39</v>
      </c>
      <c r="B101" s="21" t="str">
        <f t="shared" ca="1" si="12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15"/>
        <v>N/A</v>
      </c>
      <c r="K101" s="85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 t="str">
        <f>IF(COUNT(J89:J100),AVERAGE(J89:J100),"N/A")</f>
        <v>N/A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 t="str">
        <f>IF(COUNT(J101:J112),AVERAGE(J101:J112),"N/A")</f>
        <v>N/A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 t="str">
        <f>IF(COUNT(J89:J112),AVERAGE(J89:J112),"N/A")</f>
        <v>N/A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43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44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45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45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85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3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71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4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86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43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09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10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11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71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43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3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71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3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55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67:K190 K206:K229 K128:K151" name="Comments"/>
    <protectedRange sqref="C1:E1 C9:H32 C41:E41 C49:H72 C81:E81 C89:H112 C120:E120 C159:E159 C167:H190 C198:E198 C206:H229 C128:H151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 F128:F151">
    <cfRule type="expression" dxfId="114" priority="30">
      <formula>IF(NOT(ISBLANK($F9)),$E9&gt;$F9,FALSE)</formula>
    </cfRule>
  </conditionalFormatting>
  <conditionalFormatting sqref="G9:G32 G128:G151">
    <cfRule type="expression" dxfId="113" priority="29">
      <formula>IF(NOT(ISBLANK($G9)),$E9&gt;$G9,FALSE)</formula>
    </cfRule>
  </conditionalFormatting>
  <conditionalFormatting sqref="H9:H32 H128:H151">
    <cfRule type="expression" dxfId="112" priority="28">
      <formula>IF(NOT(ISBLANK($H9)),$E9&gt;$H9,FALSE)</formula>
    </cfRule>
  </conditionalFormatting>
  <conditionalFormatting sqref="I9:I32 I128:I151">
    <cfRule type="expression" dxfId="111" priority="27">
      <formula>IF(NOT(ISBLANK($I9)),$E9&gt;$I9,FALSE)</formula>
    </cfRule>
  </conditionalFormatting>
  <conditionalFormatting sqref="J9:J32 J128:J151">
    <cfRule type="expression" dxfId="110" priority="26">
      <formula>IF($J9&lt;&gt;"N/A",OR($J9&lt;0,$J9&gt;10),FALSE)</formula>
    </cfRule>
  </conditionalFormatting>
  <conditionalFormatting sqref="F49:F72">
    <cfRule type="expression" dxfId="109" priority="25">
      <formula>IF(NOT(ISBLANK($F49)),$E49&gt;$F49,FALSE)</formula>
    </cfRule>
  </conditionalFormatting>
  <conditionalFormatting sqref="G49:G72">
    <cfRule type="expression" dxfId="108" priority="24">
      <formula>IF(NOT(ISBLANK($G49)),$E49&gt;$G49,FALSE)</formula>
    </cfRule>
  </conditionalFormatting>
  <conditionalFormatting sqref="H49:H72">
    <cfRule type="expression" dxfId="107" priority="23">
      <formula>IF(NOT(ISBLANK($H49)),$E49&gt;$H49,FALSE)</formula>
    </cfRule>
  </conditionalFormatting>
  <conditionalFormatting sqref="I49:I72">
    <cfRule type="expression" dxfId="106" priority="22">
      <formula>IF(NOT(ISBLANK($I49)),$E49&gt;$I49,FALSE)</formula>
    </cfRule>
  </conditionalFormatting>
  <conditionalFormatting sqref="J49:J72">
    <cfRule type="expression" dxfId="105" priority="21">
      <formula>IF($J49&lt;&gt;"N/A",OR($J49&lt;0,$J49&gt;10),FALSE)</formula>
    </cfRule>
  </conditionalFormatting>
  <conditionalFormatting sqref="J89:J112">
    <cfRule type="expression" dxfId="104" priority="16">
      <formula>IF($J89&lt;&gt;"N/A",OR($J89&lt;0,$J89&gt;10),FALSE)</formula>
    </cfRule>
  </conditionalFormatting>
  <conditionalFormatting sqref="J167:J190">
    <cfRule type="expression" dxfId="103" priority="6">
      <formula>IF($J167&lt;&gt;"N/A",OR($J167&lt;0,$J167&gt;10),FALSE)</formula>
    </cfRule>
  </conditionalFormatting>
  <conditionalFormatting sqref="J206:J229">
    <cfRule type="expression" dxfId="102" priority="1">
      <formula>IF($J206&lt;&gt;"N/A",OR($J206&lt;0,$J206&gt;10),FALSE)</formula>
    </cfRule>
  </conditionalFormatting>
  <conditionalFormatting sqref="F89:F112">
    <cfRule type="expression" dxfId="101" priority="20">
      <formula>IF(NOT(ISBLANK($F89)),$E89&gt;$F89,FALSE)</formula>
    </cfRule>
  </conditionalFormatting>
  <conditionalFormatting sqref="G89:G112">
    <cfRule type="expression" dxfId="100" priority="19">
      <formula>IF(NOT(ISBLANK($G89)),$E89&gt;$G89,FALSE)</formula>
    </cfRule>
  </conditionalFormatting>
  <conditionalFormatting sqref="H89:H112">
    <cfRule type="expression" dxfId="99" priority="18">
      <formula>IF(NOT(ISBLANK($H89)),$E89&gt;$H89,FALSE)</formula>
    </cfRule>
  </conditionalFormatting>
  <conditionalFormatting sqref="I89:I112">
    <cfRule type="expression" dxfId="98" priority="17">
      <formula>IF(NOT(ISBLANK($I89)),$E89&gt;$I89,FALSE)</formula>
    </cfRule>
  </conditionalFormatting>
  <conditionalFormatting sqref="F167:F190">
    <cfRule type="expression" dxfId="97" priority="10">
      <formula>IF(NOT(ISBLANK($F167)),$E167&gt;$F167,FALSE)</formula>
    </cfRule>
  </conditionalFormatting>
  <conditionalFormatting sqref="G167:G190">
    <cfRule type="expression" dxfId="96" priority="9">
      <formula>IF(NOT(ISBLANK($G167)),$E167&gt;$G167,FALSE)</formula>
    </cfRule>
  </conditionalFormatting>
  <conditionalFormatting sqref="H167:H190">
    <cfRule type="expression" dxfId="95" priority="8">
      <formula>IF(NOT(ISBLANK($H167)),$E167&gt;$H167,FALSE)</formula>
    </cfRule>
  </conditionalFormatting>
  <conditionalFormatting sqref="I167:I190">
    <cfRule type="expression" dxfId="94" priority="7">
      <formula>IF(NOT(ISBLANK($I167)),$E167&gt;$I167,FALSE)</formula>
    </cfRule>
  </conditionalFormatting>
  <conditionalFormatting sqref="F206:F229">
    <cfRule type="expression" dxfId="93" priority="5">
      <formula>IF(NOT(ISBLANK($F206)),$E206&gt;$F206,FALSE)</formula>
    </cfRule>
  </conditionalFormatting>
  <conditionalFormatting sqref="G206:G229">
    <cfRule type="expression" dxfId="92" priority="4">
      <formula>IF(NOT(ISBLANK($G206)),$E206&gt;$G206,FALSE)</formula>
    </cfRule>
  </conditionalFormatting>
  <conditionalFormatting sqref="H206:H229">
    <cfRule type="expression" dxfId="91" priority="3">
      <formula>IF(NOT(ISBLANK($H206)),$E206&gt;$H206,FALSE)</formula>
    </cfRule>
  </conditionalFormatting>
  <conditionalFormatting sqref="I206:I229">
    <cfRule type="expression" dxfId="9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67:D190 D206:D229 D128:D151">
      <formula1>"a"</formula1>
    </dataValidation>
    <dataValidation type="decimal" operator="greaterThan" allowBlank="1" showErrorMessage="1" errorTitle="Invalid Weight Entry" error="You must enter a number for the weight." sqref="E9:H32 E49:H72 E89:H112 E167:H190 E206:H229 E128:H151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237"/>
  <sheetViews>
    <sheetView zoomScaleNormal="100" zoomScaleSheetLayoutView="100" workbookViewId="0">
      <selection activeCell="C1" sqref="C1:E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46">
        <f ca="1">WEEKNUM(TODAY(),1)</f>
        <v>15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44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72" t="str">
        <f t="shared" si="2"/>
        <v>N/A</v>
      </c>
      <c r="K12" s="71"/>
      <c r="O12" s="53"/>
    </row>
    <row r="13" spans="1:15" ht="21.95" customHeight="1" x14ac:dyDescent="0.25">
      <c r="A13" s="20" t="s">
        <v>9</v>
      </c>
      <c r="B13" s="21" t="str">
        <f t="shared" ca="1" si="0"/>
        <v/>
      </c>
      <c r="C13" s="22"/>
      <c r="D13" s="23"/>
      <c r="E13" s="24"/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70"/>
    </row>
    <row r="14" spans="1:15" ht="21.95" customHeight="1" x14ac:dyDescent="0.25">
      <c r="A14" s="20" t="s">
        <v>10</v>
      </c>
      <c r="B14" s="21" t="str">
        <f t="shared" ca="1" si="0"/>
        <v/>
      </c>
      <c r="C14" s="22"/>
      <c r="D14" s="23"/>
      <c r="E14" s="24"/>
      <c r="F14" s="25"/>
      <c r="G14" s="26"/>
      <c r="H14" s="27"/>
      <c r="I14" s="28" t="str">
        <f t="shared" si="1"/>
        <v>N/A</v>
      </c>
      <c r="J14" s="56" t="str">
        <f t="shared" ref="J14:J21" si="3">IF(I14="N/A","N/A",I14-E14)</f>
        <v>N/A</v>
      </c>
      <c r="K14" s="70"/>
    </row>
    <row r="15" spans="1:15" ht="21.95" customHeight="1" x14ac:dyDescent="0.25">
      <c r="A15" s="20" t="s">
        <v>11</v>
      </c>
      <c r="B15" s="21" t="str">
        <f t="shared" ca="1" si="0"/>
        <v/>
      </c>
      <c r="C15" s="22"/>
      <c r="D15" s="23"/>
      <c r="E15" s="24"/>
      <c r="F15" s="25"/>
      <c r="G15" s="26"/>
      <c r="H15" s="27"/>
      <c r="I15" s="28" t="str">
        <f t="shared" si="1"/>
        <v>N/A</v>
      </c>
      <c r="J15" s="56" t="str">
        <f t="shared" si="3"/>
        <v>N/A</v>
      </c>
      <c r="K15" s="70"/>
    </row>
    <row r="16" spans="1:15" ht="21.95" customHeight="1" x14ac:dyDescent="0.25">
      <c r="A16" s="20" t="s">
        <v>12</v>
      </c>
      <c r="B16" s="21" t="str">
        <f t="shared" ca="1" si="0"/>
        <v/>
      </c>
      <c r="C16" s="22"/>
      <c r="D16" s="23"/>
      <c r="E16" s="24"/>
      <c r="F16" s="25"/>
      <c r="G16" s="26"/>
      <c r="H16" s="27"/>
      <c r="I16" s="28" t="str">
        <f t="shared" si="1"/>
        <v>N/A</v>
      </c>
      <c r="J16" s="56" t="str">
        <f t="shared" si="3"/>
        <v>N/A</v>
      </c>
      <c r="K16" s="70"/>
    </row>
    <row r="17" spans="1:11" ht="21.95" customHeight="1" x14ac:dyDescent="0.25">
      <c r="A17" s="20" t="s">
        <v>13</v>
      </c>
      <c r="B17" s="21" t="str">
        <f t="shared" ca="1" si="0"/>
        <v/>
      </c>
      <c r="C17" s="22"/>
      <c r="D17" s="23"/>
      <c r="E17" s="24"/>
      <c r="F17" s="25"/>
      <c r="G17" s="26"/>
      <c r="H17" s="27"/>
      <c r="I17" s="28" t="str">
        <f t="shared" si="1"/>
        <v>N/A</v>
      </c>
      <c r="J17" s="56" t="str">
        <f t="shared" si="3"/>
        <v>N/A</v>
      </c>
      <c r="K17" s="70"/>
    </row>
    <row r="18" spans="1:11" ht="21.95" customHeight="1" x14ac:dyDescent="0.25">
      <c r="A18" s="20" t="s">
        <v>14</v>
      </c>
      <c r="B18" s="21" t="str">
        <f t="shared" ca="1" si="0"/>
        <v/>
      </c>
      <c r="C18" s="22"/>
      <c r="D18" s="23"/>
      <c r="E18" s="24"/>
      <c r="F18" s="25"/>
      <c r="G18" s="26"/>
      <c r="H18" s="27"/>
      <c r="I18" s="28" t="str">
        <f t="shared" si="1"/>
        <v>N/A</v>
      </c>
      <c r="J18" s="56" t="str">
        <f t="shared" si="3"/>
        <v>N/A</v>
      </c>
      <c r="K18" s="70"/>
    </row>
    <row r="19" spans="1:11" ht="21.95" customHeight="1" x14ac:dyDescent="0.25">
      <c r="A19" s="20" t="s">
        <v>15</v>
      </c>
      <c r="B19" s="21" t="str">
        <f t="shared" ca="1" si="0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3"/>
        <v>N/A</v>
      </c>
      <c r="K19" s="70"/>
    </row>
    <row r="20" spans="1:11" ht="21.95" customHeight="1" x14ac:dyDescent="0.25">
      <c r="A20" s="30" t="s">
        <v>16</v>
      </c>
      <c r="B20" s="21" t="str">
        <f t="shared" ca="1" si="0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si="3"/>
        <v>N/A</v>
      </c>
      <c r="K20" s="84"/>
    </row>
    <row r="21" spans="1:11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3"/>
        <v>N/A</v>
      </c>
      <c r="K21" s="85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2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2" si="5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4"/>
        <v>N/A</v>
      </c>
      <c r="J24" s="56" t="str">
        <f t="shared" si="5"/>
        <v>N/A</v>
      </c>
      <c r="K24" s="70"/>
    </row>
    <row r="25" spans="1:11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4"/>
        <v>N/A</v>
      </c>
      <c r="J25" s="56" t="str">
        <f t="shared" si="5"/>
        <v>N/A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4"/>
    </row>
    <row r="33" spans="1:13" ht="18" customHeight="1" x14ac:dyDescent="0.25">
      <c r="A33" s="150" t="s">
        <v>27</v>
      </c>
      <c r="B33" s="146"/>
      <c r="C33" s="146"/>
      <c r="D33" s="146"/>
      <c r="E33" s="146"/>
      <c r="F33" s="59" t="str">
        <f>IF(COUNT(J9:J20),AVERAGE(J9:J20),"N/A")</f>
        <v>N/A</v>
      </c>
      <c r="G33" s="58"/>
      <c r="H33" s="58"/>
      <c r="I33" s="79"/>
      <c r="K33" s="86"/>
    </row>
    <row r="34" spans="1:13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3" ht="18" customHeight="1" x14ac:dyDescent="0.25">
      <c r="A35" s="106" t="s">
        <v>28</v>
      </c>
      <c r="B35" s="107"/>
      <c r="C35" s="107"/>
      <c r="D35" s="107"/>
      <c r="E35" s="107"/>
      <c r="F35" s="51" t="str">
        <f>IF(COUNT(J21:J32),AVERAGE(J21:J32),"N/A")</f>
        <v>N/A</v>
      </c>
      <c r="G35" s="66"/>
      <c r="H35" s="58"/>
      <c r="I35" s="58"/>
      <c r="K35" s="55"/>
    </row>
    <row r="36" spans="1:13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3" ht="18" customHeight="1" x14ac:dyDescent="0.25">
      <c r="A37" s="106" t="s">
        <v>29</v>
      </c>
      <c r="B37" s="107"/>
      <c r="C37" s="107"/>
      <c r="D37" s="107"/>
      <c r="E37" s="108"/>
      <c r="F37" s="51" t="str">
        <f>IF(COUNT(J9:J32),AVERAGE(J9:J32),"N/A")</f>
        <v>N/A</v>
      </c>
      <c r="G37" s="66"/>
      <c r="H37" s="58"/>
      <c r="I37" s="58"/>
      <c r="K37" s="55"/>
    </row>
    <row r="38" spans="1:13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3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3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3" ht="23.25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3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3" ht="14.1" customHeight="1" thickTop="1" thickBot="1" x14ac:dyDescent="0.25">
      <c r="A43" s="142" t="s">
        <v>44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3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3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3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09" t="s">
        <v>83</v>
      </c>
    </row>
    <row r="47" spans="1:13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10"/>
    </row>
    <row r="48" spans="1:13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11"/>
      <c r="M48" s="53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2" si="8">IF(I49="N/A","N/A",I49-E49)</f>
        <v>N/A</v>
      </c>
      <c r="K49" s="71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 t="str">
        <f t="shared" ca="1" si="6"/>
        <v/>
      </c>
      <c r="C52" s="22"/>
      <c r="D52" s="23"/>
      <c r="E52" s="24"/>
      <c r="F52" s="25"/>
      <c r="G52" s="26"/>
      <c r="H52" s="27"/>
      <c r="I52" s="28" t="str">
        <f t="shared" si="7"/>
        <v>N/A</v>
      </c>
      <c r="J52" s="72" t="str">
        <f t="shared" si="8"/>
        <v>N/A</v>
      </c>
      <c r="K52" s="71"/>
    </row>
    <row r="53" spans="1:11" ht="21.95" customHeight="1" x14ac:dyDescent="0.25">
      <c r="A53" s="20" t="s">
        <v>9</v>
      </c>
      <c r="B53" s="21" t="str">
        <f t="shared" ca="1" si="6"/>
        <v/>
      </c>
      <c r="C53" s="22"/>
      <c r="D53" s="23"/>
      <c r="E53" s="24"/>
      <c r="F53" s="25"/>
      <c r="G53" s="26"/>
      <c r="H53" s="27"/>
      <c r="I53" s="28" t="str">
        <f t="shared" si="7"/>
        <v>N/A</v>
      </c>
      <c r="J53" s="56" t="str">
        <f>IF(I53="N/A","N/A",I53-E53)</f>
        <v>N/A</v>
      </c>
      <c r="K53" s="70"/>
    </row>
    <row r="54" spans="1:11" ht="21.95" customHeight="1" x14ac:dyDescent="0.25">
      <c r="A54" s="20" t="s">
        <v>10</v>
      </c>
      <c r="B54" s="21" t="str">
        <f t="shared" ca="1" si="6"/>
        <v/>
      </c>
      <c r="C54" s="22"/>
      <c r="D54" s="23"/>
      <c r="E54" s="24"/>
      <c r="F54" s="25"/>
      <c r="G54" s="26"/>
      <c r="H54" s="27"/>
      <c r="I54" s="28" t="str">
        <f t="shared" si="7"/>
        <v>N/A</v>
      </c>
      <c r="J54" s="56" t="str">
        <f t="shared" ref="J54:J61" si="9">IF(I54="N/A","N/A",I54-E54)</f>
        <v>N/A</v>
      </c>
      <c r="K54" s="70"/>
    </row>
    <row r="55" spans="1:11" ht="21.95" customHeight="1" x14ac:dyDescent="0.25">
      <c r="A55" s="20" t="s">
        <v>11</v>
      </c>
      <c r="B55" s="21" t="str">
        <f t="shared" ca="1" si="6"/>
        <v/>
      </c>
      <c r="C55" s="22"/>
      <c r="D55" s="23"/>
      <c r="E55" s="24"/>
      <c r="F55" s="25"/>
      <c r="G55" s="26"/>
      <c r="H55" s="27"/>
      <c r="I55" s="28" t="str">
        <f t="shared" si="7"/>
        <v>N/A</v>
      </c>
      <c r="J55" s="56" t="str">
        <f t="shared" si="9"/>
        <v>N/A</v>
      </c>
      <c r="K55" s="70"/>
    </row>
    <row r="56" spans="1:11" ht="21.95" customHeight="1" x14ac:dyDescent="0.25">
      <c r="A56" s="20" t="s">
        <v>12</v>
      </c>
      <c r="B56" s="21" t="str">
        <f t="shared" ca="1" si="6"/>
        <v/>
      </c>
      <c r="C56" s="22"/>
      <c r="D56" s="23"/>
      <c r="E56" s="24"/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4"/>
    </row>
    <row r="61" spans="1:11" ht="21.95" customHeight="1" x14ac:dyDescent="0.25">
      <c r="A61" s="31" t="s">
        <v>39</v>
      </c>
      <c r="B61" s="21" t="str">
        <f t="shared" ca="1" si="6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9"/>
        <v>N/A</v>
      </c>
      <c r="K61" s="85"/>
    </row>
    <row r="62" spans="1:11" ht="21.95" customHeight="1" x14ac:dyDescent="0.25">
      <c r="A62" s="31" t="s">
        <v>19</v>
      </c>
      <c r="B62" s="21" t="str">
        <f t="shared" ca="1" si="6"/>
        <v/>
      </c>
      <c r="C62" s="22"/>
      <c r="D62" s="23"/>
      <c r="E62" s="24"/>
      <c r="F62" s="25"/>
      <c r="G62" s="26"/>
      <c r="H62" s="27"/>
      <c r="I62" s="28" t="str">
        <f t="shared" ref="I62:I72" si="10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 t="str">
        <f t="shared" ca="1" si="6"/>
        <v/>
      </c>
      <c r="C64" s="22"/>
      <c r="D64" s="23"/>
      <c r="E64" s="24"/>
      <c r="F64" s="25"/>
      <c r="G64" s="26"/>
      <c r="H64" s="27"/>
      <c r="I64" s="28" t="str">
        <f t="shared" si="10"/>
        <v>N/A</v>
      </c>
      <c r="J64" s="56" t="str">
        <f t="shared" si="11"/>
        <v>N/A</v>
      </c>
      <c r="K64" s="70"/>
    </row>
    <row r="65" spans="1:11" ht="21.95" customHeight="1" x14ac:dyDescent="0.25">
      <c r="A65" s="31" t="s">
        <v>2</v>
      </c>
      <c r="B65" s="21" t="str">
        <f t="shared" ca="1" si="6"/>
        <v/>
      </c>
      <c r="C65" s="22"/>
      <c r="D65" s="23"/>
      <c r="E65" s="24"/>
      <c r="F65" s="25"/>
      <c r="G65" s="26"/>
      <c r="H65" s="27"/>
      <c r="I65" s="28" t="str">
        <f t="shared" si="10"/>
        <v>N/A</v>
      </c>
      <c r="J65" s="56" t="str">
        <f t="shared" si="11"/>
        <v>N/A</v>
      </c>
      <c r="K65" s="70"/>
    </row>
    <row r="66" spans="1:11" ht="21.95" customHeight="1" x14ac:dyDescent="0.3">
      <c r="A66" s="31" t="s">
        <v>22</v>
      </c>
      <c r="B66" s="21" t="str">
        <f t="shared" ca="1" si="6"/>
        <v/>
      </c>
      <c r="C66" s="22"/>
      <c r="D66" s="45"/>
      <c r="E66" s="24"/>
      <c r="F66" s="25"/>
      <c r="G66" s="26"/>
      <c r="H66" s="27"/>
      <c r="I66" s="28" t="str">
        <f t="shared" si="10"/>
        <v>N/A</v>
      </c>
      <c r="J66" s="56" t="str">
        <f t="shared" si="11"/>
        <v>N/A</v>
      </c>
      <c r="K66" s="70"/>
    </row>
    <row r="67" spans="1:11" ht="21.95" customHeight="1" x14ac:dyDescent="0.25">
      <c r="A67" s="31" t="s">
        <v>23</v>
      </c>
      <c r="B67" s="21" t="str">
        <f t="shared" ca="1" si="6"/>
        <v/>
      </c>
      <c r="C67" s="22"/>
      <c r="D67" s="23"/>
      <c r="E67" s="24"/>
      <c r="F67" s="25"/>
      <c r="G67" s="26"/>
      <c r="H67" s="27"/>
      <c r="I67" s="28" t="str">
        <f t="shared" si="10"/>
        <v>N/A</v>
      </c>
      <c r="J67" s="56" t="str">
        <f t="shared" si="11"/>
        <v>N/A</v>
      </c>
      <c r="K67" s="70"/>
    </row>
    <row r="68" spans="1:11" ht="21.95" customHeight="1" x14ac:dyDescent="0.3">
      <c r="A68" s="31" t="s">
        <v>24</v>
      </c>
      <c r="B68" s="21" t="str">
        <f t="shared" ca="1" si="6"/>
        <v/>
      </c>
      <c r="C68" s="22"/>
      <c r="D68" s="45"/>
      <c r="E68" s="24"/>
      <c r="F68" s="25"/>
      <c r="G68" s="26"/>
      <c r="H68" s="27"/>
      <c r="I68" s="28" t="str">
        <f t="shared" si="10"/>
        <v>N/A</v>
      </c>
      <c r="J68" s="56" t="str">
        <f t="shared" si="11"/>
        <v>N/A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 t="str">
        <f>IF(COUNT(J49:J60),AVERAGE(J49:J60),"N/A")</f>
        <v>N/A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 t="str">
        <f>IF(COUNT(J61:J72),AVERAGE(J61:J72),"N/A")</f>
        <v>N/A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 t="str">
        <f>IF(COUNT(J49:J72),AVERAGE(J49:J72),"N/A")</f>
        <v>N/A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/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44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 t="str">
        <f t="shared" ref="B89:B112" ca="1" si="12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3">IF(F89+G89+H89=0,("N/A"),SUM(F89,G89,H89)/3)</f>
        <v>N/A</v>
      </c>
      <c r="J89" s="72" t="str">
        <f t="shared" ref="J89:J92" si="14">IF(I89="N/A","N/A",I89-E89)</f>
        <v>N/A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/>
      <c r="D90" s="23"/>
      <c r="E90" s="24"/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/>
      <c r="D91" s="23"/>
      <c r="E91" s="24"/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 t="str">
        <f t="shared" ca="1" si="12"/>
        <v/>
      </c>
      <c r="C92" s="22"/>
      <c r="D92" s="23"/>
      <c r="E92" s="24"/>
      <c r="F92" s="25"/>
      <c r="G92" s="26"/>
      <c r="H92" s="27"/>
      <c r="I92" s="28" t="str">
        <f t="shared" si="13"/>
        <v>N/A</v>
      </c>
      <c r="J92" s="72" t="str">
        <f t="shared" si="14"/>
        <v>N/A</v>
      </c>
      <c r="K92" s="71"/>
    </row>
    <row r="93" spans="1:11" ht="21.95" customHeight="1" x14ac:dyDescent="0.25">
      <c r="A93" s="20" t="s">
        <v>9</v>
      </c>
      <c r="B93" s="21" t="str">
        <f t="shared" ca="1" si="12"/>
        <v/>
      </c>
      <c r="C93" s="22"/>
      <c r="D93" s="23"/>
      <c r="E93" s="24"/>
      <c r="F93" s="25"/>
      <c r="G93" s="26"/>
      <c r="H93" s="27"/>
      <c r="I93" s="28" t="str">
        <f t="shared" si="13"/>
        <v>N/A</v>
      </c>
      <c r="J93" s="56" t="str">
        <f>IF(I93="N/A","N/A",I93-E93)</f>
        <v>N/A</v>
      </c>
      <c r="K93" s="70"/>
    </row>
    <row r="94" spans="1:11" ht="21.95" customHeight="1" x14ac:dyDescent="0.25">
      <c r="A94" s="20" t="s">
        <v>10</v>
      </c>
      <c r="B94" s="21" t="str">
        <f t="shared" ca="1" si="12"/>
        <v/>
      </c>
      <c r="C94" s="22"/>
      <c r="D94" s="23"/>
      <c r="E94" s="24"/>
      <c r="F94" s="25"/>
      <c r="G94" s="26"/>
      <c r="H94" s="27"/>
      <c r="I94" s="28" t="str">
        <f t="shared" si="13"/>
        <v>N/A</v>
      </c>
      <c r="J94" s="56" t="str">
        <f t="shared" ref="J94:J101" si="15">IF(I94="N/A","N/A",I94-E94)</f>
        <v>N/A</v>
      </c>
      <c r="K94" s="70"/>
    </row>
    <row r="95" spans="1:11" ht="21.95" customHeight="1" x14ac:dyDescent="0.25">
      <c r="A95" s="20" t="s">
        <v>11</v>
      </c>
      <c r="B95" s="21" t="str">
        <f t="shared" ca="1" si="12"/>
        <v/>
      </c>
      <c r="C95" s="22"/>
      <c r="D95" s="23"/>
      <c r="E95" s="24"/>
      <c r="F95" s="25"/>
      <c r="G95" s="26"/>
      <c r="H95" s="27"/>
      <c r="I95" s="28" t="str">
        <f t="shared" si="13"/>
        <v>N/A</v>
      </c>
      <c r="J95" s="56" t="str">
        <f t="shared" si="15"/>
        <v>N/A</v>
      </c>
      <c r="K95" s="70"/>
    </row>
    <row r="96" spans="1:11" ht="21.95" customHeight="1" x14ac:dyDescent="0.25">
      <c r="A96" s="20" t="s">
        <v>12</v>
      </c>
      <c r="B96" s="21" t="str">
        <f t="shared" ca="1" si="12"/>
        <v/>
      </c>
      <c r="C96" s="22"/>
      <c r="D96" s="23"/>
      <c r="E96" s="24"/>
      <c r="F96" s="25"/>
      <c r="G96" s="26"/>
      <c r="H96" s="27"/>
      <c r="I96" s="28" t="str">
        <f t="shared" si="13"/>
        <v>N/A</v>
      </c>
      <c r="J96" s="56" t="str">
        <f t="shared" si="15"/>
        <v>N/A</v>
      </c>
      <c r="K96" s="70"/>
    </row>
    <row r="97" spans="1:11" ht="21.95" customHeight="1" x14ac:dyDescent="0.25">
      <c r="A97" s="20" t="s">
        <v>13</v>
      </c>
      <c r="B97" s="21" t="str">
        <f t="shared" ca="1" si="12"/>
        <v/>
      </c>
      <c r="C97" s="22"/>
      <c r="D97" s="23"/>
      <c r="E97" s="24"/>
      <c r="F97" s="25"/>
      <c r="G97" s="26"/>
      <c r="H97" s="27"/>
      <c r="I97" s="28" t="str">
        <f t="shared" si="13"/>
        <v>N/A</v>
      </c>
      <c r="J97" s="56" t="str">
        <f t="shared" si="15"/>
        <v>N/A</v>
      </c>
      <c r="K97" s="70"/>
    </row>
    <row r="98" spans="1:11" ht="21.95" customHeight="1" x14ac:dyDescent="0.25">
      <c r="A98" s="20" t="s">
        <v>14</v>
      </c>
      <c r="B98" s="21" t="str">
        <f t="shared" ca="1" si="12"/>
        <v/>
      </c>
      <c r="C98" s="22"/>
      <c r="D98" s="23"/>
      <c r="E98" s="24"/>
      <c r="F98" s="25"/>
      <c r="G98" s="26"/>
      <c r="H98" s="27"/>
      <c r="I98" s="28" t="str">
        <f t="shared" si="13"/>
        <v>N/A</v>
      </c>
      <c r="J98" s="56" t="str">
        <f t="shared" si="15"/>
        <v>N/A</v>
      </c>
      <c r="K98" s="70"/>
    </row>
    <row r="99" spans="1:11" ht="21.95" customHeight="1" x14ac:dyDescent="0.25">
      <c r="A99" s="20" t="s">
        <v>15</v>
      </c>
      <c r="B99" s="21" t="str">
        <f t="shared" ca="1" si="12"/>
        <v/>
      </c>
      <c r="C99" s="22"/>
      <c r="D99" s="23"/>
      <c r="E99" s="24"/>
      <c r="F99" s="25"/>
      <c r="G99" s="26"/>
      <c r="H99" s="27"/>
      <c r="I99" s="28" t="str">
        <f>IF(F99+G99+H99=0,("N/A"),SUM(F99,G99,H99)/3)</f>
        <v>N/A</v>
      </c>
      <c r="J99" s="56" t="str">
        <f t="shared" si="15"/>
        <v>N/A</v>
      </c>
      <c r="K99" s="70"/>
    </row>
    <row r="100" spans="1:11" ht="21.95" customHeight="1" x14ac:dyDescent="0.25">
      <c r="A100" s="30" t="s">
        <v>16</v>
      </c>
      <c r="B100" s="21" t="str">
        <f t="shared" ca="1" si="12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15"/>
        <v>N/A</v>
      </c>
      <c r="K100" s="83"/>
    </row>
    <row r="101" spans="1:11" ht="21.95" customHeight="1" x14ac:dyDescent="0.25">
      <c r="A101" s="31" t="s">
        <v>39</v>
      </c>
      <c r="B101" s="21" t="str">
        <f t="shared" ca="1" si="12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15"/>
        <v>N/A</v>
      </c>
      <c r="K101" s="71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4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 t="str">
        <f>IF(COUNT(J89:J100),AVERAGE(J89:J100),"N/A")</f>
        <v>N/A</v>
      </c>
      <c r="G113" s="58"/>
      <c r="H113" s="58"/>
      <c r="I113" s="79"/>
      <c r="K113" s="86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 t="str">
        <f>IF(COUNT(J101:J112),AVERAGE(J101:J112),"N/A")</f>
        <v>N/A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 t="str">
        <f>IF(COUNT(J89:J112),AVERAGE(J89:J112),"N/A")</f>
        <v>N/A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44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09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10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11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71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3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71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3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55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44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44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45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45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85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44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4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85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4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86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">
    <cfRule type="expression" dxfId="89" priority="30">
      <formula>IF(NOT(ISBLANK($F9)),$E9&gt;$F9,FALSE)</formula>
    </cfRule>
  </conditionalFormatting>
  <conditionalFormatting sqref="G9:G32">
    <cfRule type="expression" dxfId="88" priority="29">
      <formula>IF(NOT(ISBLANK($G9)),$E9&gt;$G9,FALSE)</formula>
    </cfRule>
  </conditionalFormatting>
  <conditionalFormatting sqref="H9:H32">
    <cfRule type="expression" dxfId="87" priority="28">
      <formula>IF(NOT(ISBLANK($H9)),$E9&gt;$H9,FALSE)</formula>
    </cfRule>
  </conditionalFormatting>
  <conditionalFormatting sqref="I9:I32">
    <cfRule type="expression" dxfId="86" priority="27">
      <formula>IF(NOT(ISBLANK($I9)),$E9&gt;$I9,FALSE)</formula>
    </cfRule>
  </conditionalFormatting>
  <conditionalFormatting sqref="J9:J32">
    <cfRule type="expression" dxfId="85" priority="26">
      <formula>IF($J9&lt;&gt;"N/A",OR($J9&lt;0,$J9&gt;10),FALSE)</formula>
    </cfRule>
  </conditionalFormatting>
  <conditionalFormatting sqref="F49:F72">
    <cfRule type="expression" dxfId="84" priority="25">
      <formula>IF(NOT(ISBLANK($F49)),$E49&gt;$F49,FALSE)</formula>
    </cfRule>
  </conditionalFormatting>
  <conditionalFormatting sqref="G49:G72">
    <cfRule type="expression" dxfId="83" priority="24">
      <formula>IF(NOT(ISBLANK($G49)),$E49&gt;$G49,FALSE)</formula>
    </cfRule>
  </conditionalFormatting>
  <conditionalFormatting sqref="H49:H72">
    <cfRule type="expression" dxfId="82" priority="23">
      <formula>IF(NOT(ISBLANK($H49)),$E49&gt;$H49,FALSE)</formula>
    </cfRule>
  </conditionalFormatting>
  <conditionalFormatting sqref="I49:I72">
    <cfRule type="expression" dxfId="81" priority="22">
      <formula>IF(NOT(ISBLANK($I49)),$E49&gt;$I49,FALSE)</formula>
    </cfRule>
  </conditionalFormatting>
  <conditionalFormatting sqref="J49:J72">
    <cfRule type="expression" dxfId="80" priority="21">
      <formula>IF($J49&lt;&gt;"N/A",OR($J49&lt;0,$J49&gt;10),FALSE)</formula>
    </cfRule>
  </conditionalFormatting>
  <conditionalFormatting sqref="J89:J112">
    <cfRule type="expression" dxfId="79" priority="16">
      <formula>IF($J89&lt;&gt;"N/A",OR($J89&lt;0,$J89&gt;10),FALSE)</formula>
    </cfRule>
  </conditionalFormatting>
  <conditionalFormatting sqref="J128:J151">
    <cfRule type="expression" dxfId="78" priority="11">
      <formula>IF($J128&lt;&gt;"N/A",OR($J128&lt;0,$J128&gt;10),FALSE)</formula>
    </cfRule>
  </conditionalFormatting>
  <conditionalFormatting sqref="J167:J190">
    <cfRule type="expression" dxfId="77" priority="6">
      <formula>IF($J167&lt;&gt;"N/A",OR($J167&lt;0,$J167&gt;10),FALSE)</formula>
    </cfRule>
  </conditionalFormatting>
  <conditionalFormatting sqref="J206:J229">
    <cfRule type="expression" dxfId="76" priority="1">
      <formula>IF($J206&lt;&gt;"N/A",OR($J206&lt;0,$J206&gt;10),FALSE)</formula>
    </cfRule>
  </conditionalFormatting>
  <conditionalFormatting sqref="F89:F112">
    <cfRule type="expression" dxfId="75" priority="20">
      <formula>IF(NOT(ISBLANK($F89)),$E89&gt;$F89,FALSE)</formula>
    </cfRule>
  </conditionalFormatting>
  <conditionalFormatting sqref="G89:G112">
    <cfRule type="expression" dxfId="74" priority="19">
      <formula>IF(NOT(ISBLANK($G89)),$E89&gt;$G89,FALSE)</formula>
    </cfRule>
  </conditionalFormatting>
  <conditionalFormatting sqref="H89:H112">
    <cfRule type="expression" dxfId="73" priority="18">
      <formula>IF(NOT(ISBLANK($H89)),$E89&gt;$H89,FALSE)</formula>
    </cfRule>
  </conditionalFormatting>
  <conditionalFormatting sqref="I89:I112">
    <cfRule type="expression" dxfId="72" priority="17">
      <formula>IF(NOT(ISBLANK($I89)),$E89&gt;$I89,FALSE)</formula>
    </cfRule>
  </conditionalFormatting>
  <conditionalFormatting sqref="F128:F151">
    <cfRule type="expression" dxfId="71" priority="15">
      <formula>IF(NOT(ISBLANK($F128)),$E128&gt;$F128,FALSE)</formula>
    </cfRule>
  </conditionalFormatting>
  <conditionalFormatting sqref="G128:G151">
    <cfRule type="expression" dxfId="70" priority="14">
      <formula>IF(NOT(ISBLANK($G128)),$E128&gt;$G128,FALSE)</formula>
    </cfRule>
  </conditionalFormatting>
  <conditionalFormatting sqref="H128:H151">
    <cfRule type="expression" dxfId="69" priority="13">
      <formula>IF(NOT(ISBLANK($H128)),$E128&gt;$H128,FALSE)</formula>
    </cfRule>
  </conditionalFormatting>
  <conditionalFormatting sqref="I128:I151">
    <cfRule type="expression" dxfId="68" priority="12">
      <formula>IF(NOT(ISBLANK($I128)),$E128&gt;$I128,FALSE)</formula>
    </cfRule>
  </conditionalFormatting>
  <conditionalFormatting sqref="F167:F190">
    <cfRule type="expression" dxfId="67" priority="10">
      <formula>IF(NOT(ISBLANK($F167)),$E167&gt;$F167,FALSE)</formula>
    </cfRule>
  </conditionalFormatting>
  <conditionalFormatting sqref="G167:G190">
    <cfRule type="expression" dxfId="66" priority="9">
      <formula>IF(NOT(ISBLANK($G167)),$E167&gt;$G167,FALSE)</formula>
    </cfRule>
  </conditionalFormatting>
  <conditionalFormatting sqref="H167:H190">
    <cfRule type="expression" dxfId="65" priority="8">
      <formula>IF(NOT(ISBLANK($H167)),$E167&gt;$H167,FALSE)</formula>
    </cfRule>
  </conditionalFormatting>
  <conditionalFormatting sqref="I167:I190">
    <cfRule type="expression" dxfId="64" priority="7">
      <formula>IF(NOT(ISBLANK($I167)),$E167&gt;$I167,FALSE)</formula>
    </cfRule>
  </conditionalFormatting>
  <conditionalFormatting sqref="F206:F229">
    <cfRule type="expression" dxfId="63" priority="5">
      <formula>IF(NOT(ISBLANK($F206)),$E206&gt;$F206,FALSE)</formula>
    </cfRule>
  </conditionalFormatting>
  <conditionalFormatting sqref="G206:G229">
    <cfRule type="expression" dxfId="62" priority="4">
      <formula>IF(NOT(ISBLANK($G206)),$E206&gt;$G206,FALSE)</formula>
    </cfRule>
  </conditionalFormatting>
  <conditionalFormatting sqref="H206:H229">
    <cfRule type="expression" dxfId="61" priority="3">
      <formula>IF(NOT(ISBLANK($H206)),$E206&gt;$H206,FALSE)</formula>
    </cfRule>
  </conditionalFormatting>
  <conditionalFormatting sqref="I206:I229">
    <cfRule type="expression" dxfId="6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37"/>
  <sheetViews>
    <sheetView zoomScaleNormal="100" zoomScaleSheetLayoutView="100" workbookViewId="0">
      <selection activeCell="C1" sqref="C1:E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46">
        <f ca="1">WEEKNUM(TODAY(),1)</f>
        <v>15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45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72" t="str">
        <f t="shared" si="2"/>
        <v>N/A</v>
      </c>
      <c r="K12" s="71"/>
      <c r="O12" s="53"/>
    </row>
    <row r="13" spans="1:15" ht="21.95" customHeight="1" x14ac:dyDescent="0.25">
      <c r="A13" s="20" t="s">
        <v>9</v>
      </c>
      <c r="B13" s="21" t="str">
        <f t="shared" ca="1" si="0"/>
        <v/>
      </c>
      <c r="C13" s="22"/>
      <c r="D13" s="23"/>
      <c r="E13" s="24"/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70"/>
    </row>
    <row r="14" spans="1:15" ht="21.95" customHeight="1" x14ac:dyDescent="0.25">
      <c r="A14" s="20" t="s">
        <v>10</v>
      </c>
      <c r="B14" s="21" t="str">
        <f t="shared" ca="1" si="0"/>
        <v/>
      </c>
      <c r="C14" s="22"/>
      <c r="D14" s="23"/>
      <c r="E14" s="24"/>
      <c r="F14" s="25"/>
      <c r="G14" s="26"/>
      <c r="H14" s="27"/>
      <c r="I14" s="28" t="str">
        <f t="shared" si="1"/>
        <v>N/A</v>
      </c>
      <c r="J14" s="56" t="str">
        <f t="shared" ref="J14:J21" si="3">IF(I14="N/A","N/A",I14-E14)</f>
        <v>N/A</v>
      </c>
      <c r="K14" s="70"/>
    </row>
    <row r="15" spans="1:15" ht="21.95" customHeight="1" x14ac:dyDescent="0.25">
      <c r="A15" s="20" t="s">
        <v>11</v>
      </c>
      <c r="B15" s="21" t="str">
        <f t="shared" ca="1" si="0"/>
        <v/>
      </c>
      <c r="C15" s="22"/>
      <c r="D15" s="23"/>
      <c r="E15" s="24"/>
      <c r="F15" s="25"/>
      <c r="G15" s="26"/>
      <c r="H15" s="27"/>
      <c r="I15" s="28" t="str">
        <f t="shared" si="1"/>
        <v>N/A</v>
      </c>
      <c r="J15" s="56" t="str">
        <f t="shared" si="3"/>
        <v>N/A</v>
      </c>
      <c r="K15" s="70"/>
    </row>
    <row r="16" spans="1:15" ht="21.95" customHeight="1" x14ac:dyDescent="0.25">
      <c r="A16" s="20" t="s">
        <v>12</v>
      </c>
      <c r="B16" s="21" t="str">
        <f t="shared" ca="1" si="0"/>
        <v/>
      </c>
      <c r="C16" s="22"/>
      <c r="D16" s="23"/>
      <c r="E16" s="24"/>
      <c r="F16" s="25"/>
      <c r="G16" s="26"/>
      <c r="H16" s="27"/>
      <c r="I16" s="28" t="str">
        <f t="shared" si="1"/>
        <v>N/A</v>
      </c>
      <c r="J16" s="56" t="str">
        <f t="shared" si="3"/>
        <v>N/A</v>
      </c>
      <c r="K16" s="70"/>
    </row>
    <row r="17" spans="1:11" ht="21.95" customHeight="1" x14ac:dyDescent="0.25">
      <c r="A17" s="20" t="s">
        <v>13</v>
      </c>
      <c r="B17" s="21" t="str">
        <f t="shared" ca="1" si="0"/>
        <v/>
      </c>
      <c r="C17" s="22"/>
      <c r="D17" s="23"/>
      <c r="E17" s="24"/>
      <c r="F17" s="25"/>
      <c r="G17" s="26"/>
      <c r="H17" s="27"/>
      <c r="I17" s="28" t="str">
        <f t="shared" si="1"/>
        <v>N/A</v>
      </c>
      <c r="J17" s="56" t="str">
        <f t="shared" si="3"/>
        <v>N/A</v>
      </c>
      <c r="K17" s="70"/>
    </row>
    <row r="18" spans="1:11" ht="21.95" customHeight="1" x14ac:dyDescent="0.25">
      <c r="A18" s="20" t="s">
        <v>14</v>
      </c>
      <c r="B18" s="21" t="str">
        <f t="shared" ca="1" si="0"/>
        <v/>
      </c>
      <c r="C18" s="22"/>
      <c r="D18" s="23"/>
      <c r="E18" s="24"/>
      <c r="F18" s="25"/>
      <c r="G18" s="26"/>
      <c r="H18" s="27"/>
      <c r="I18" s="28" t="str">
        <f t="shared" si="1"/>
        <v>N/A</v>
      </c>
      <c r="J18" s="56" t="str">
        <f t="shared" si="3"/>
        <v>N/A</v>
      </c>
      <c r="K18" s="70"/>
    </row>
    <row r="19" spans="1:11" ht="21.95" customHeight="1" x14ac:dyDescent="0.25">
      <c r="A19" s="20" t="s">
        <v>15</v>
      </c>
      <c r="B19" s="21" t="str">
        <f t="shared" ca="1" si="0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3"/>
        <v>N/A</v>
      </c>
      <c r="K19" s="70"/>
    </row>
    <row r="20" spans="1:11" ht="21.95" customHeight="1" x14ac:dyDescent="0.25">
      <c r="A20" s="30" t="s">
        <v>16</v>
      </c>
      <c r="B20" s="21" t="str">
        <f t="shared" ca="1" si="0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si="3"/>
        <v>N/A</v>
      </c>
      <c r="K20" s="84"/>
    </row>
    <row r="21" spans="1:11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3"/>
        <v>N/A</v>
      </c>
      <c r="K21" s="85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2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2" si="5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4"/>
        <v>N/A</v>
      </c>
      <c r="J24" s="56" t="str">
        <f t="shared" si="5"/>
        <v>N/A</v>
      </c>
      <c r="K24" s="70"/>
    </row>
    <row r="25" spans="1:11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4"/>
        <v>N/A</v>
      </c>
      <c r="J25" s="56" t="str">
        <f t="shared" si="5"/>
        <v>N/A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3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 t="str">
        <f>IF(COUNT(J9:J20),AVERAGE(J9:J20),"N/A")</f>
        <v>N/A</v>
      </c>
      <c r="G33" s="58"/>
      <c r="H33" s="58"/>
      <c r="I33" s="79"/>
      <c r="K33" s="55"/>
    </row>
    <row r="34" spans="1:11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 t="str">
        <f>IF(COUNT(J21:J32),AVERAGE(J21:J32),"N/A")</f>
        <v>N/A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 t="str">
        <f>IF(COUNT(J9:J32),AVERAGE(J9:J32),"N/A")</f>
        <v>N/A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1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45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44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45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45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3" si="8">IF(I49="N/A","N/A",I49-E49)</f>
        <v>N/A</v>
      </c>
      <c r="K49" s="85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 t="str">
        <f t="shared" ca="1" si="6"/>
        <v/>
      </c>
      <c r="C52" s="22"/>
      <c r="D52" s="23"/>
      <c r="E52" s="24"/>
      <c r="F52" s="25"/>
      <c r="G52" s="26"/>
      <c r="H52" s="27"/>
      <c r="I52" s="28" t="str">
        <f t="shared" si="7"/>
        <v>N/A</v>
      </c>
      <c r="J52" s="72" t="str">
        <f t="shared" si="8"/>
        <v>N/A</v>
      </c>
      <c r="K52" s="70"/>
    </row>
    <row r="53" spans="1:11" ht="21.95" customHeight="1" x14ac:dyDescent="0.25">
      <c r="A53" s="20" t="s">
        <v>9</v>
      </c>
      <c r="B53" s="21" t="str">
        <f t="shared" ca="1" si="6"/>
        <v/>
      </c>
      <c r="C53" s="22"/>
      <c r="D53" s="23"/>
      <c r="E53" s="24"/>
      <c r="F53" s="25"/>
      <c r="G53" s="26"/>
      <c r="H53" s="27"/>
      <c r="I53" s="28" t="str">
        <f t="shared" si="7"/>
        <v>N/A</v>
      </c>
      <c r="J53" s="72" t="str">
        <f t="shared" si="8"/>
        <v>N/A</v>
      </c>
      <c r="K53" s="70"/>
    </row>
    <row r="54" spans="1:11" ht="21.95" customHeight="1" x14ac:dyDescent="0.25">
      <c r="A54" s="20" t="s">
        <v>10</v>
      </c>
      <c r="B54" s="21" t="str">
        <f t="shared" ca="1" si="6"/>
        <v/>
      </c>
      <c r="C54" s="22"/>
      <c r="D54" s="23"/>
      <c r="E54" s="24"/>
      <c r="F54" s="25"/>
      <c r="G54" s="26"/>
      <c r="H54" s="27"/>
      <c r="I54" s="28" t="str">
        <f t="shared" si="7"/>
        <v>N/A</v>
      </c>
      <c r="J54" s="56" t="str">
        <f t="shared" ref="J54:J61" si="9">IF(I54="N/A","N/A",I54-E54)</f>
        <v>N/A</v>
      </c>
      <c r="K54" s="70"/>
    </row>
    <row r="55" spans="1:11" ht="21.95" customHeight="1" x14ac:dyDescent="0.25">
      <c r="A55" s="20" t="s">
        <v>11</v>
      </c>
      <c r="B55" s="21" t="str">
        <f t="shared" ca="1" si="6"/>
        <v/>
      </c>
      <c r="C55" s="22"/>
      <c r="D55" s="23"/>
      <c r="E55" s="24"/>
      <c r="F55" s="25"/>
      <c r="G55" s="26"/>
      <c r="H55" s="27"/>
      <c r="I55" s="28" t="str">
        <f t="shared" si="7"/>
        <v>N/A</v>
      </c>
      <c r="J55" s="56" t="str">
        <f t="shared" si="9"/>
        <v>N/A</v>
      </c>
      <c r="K55" s="70"/>
    </row>
    <row r="56" spans="1:11" ht="21.95" customHeight="1" x14ac:dyDescent="0.25">
      <c r="A56" s="20" t="s">
        <v>12</v>
      </c>
      <c r="B56" s="21" t="str">
        <f t="shared" ca="1" si="6"/>
        <v/>
      </c>
      <c r="C56" s="22"/>
      <c r="D56" s="23"/>
      <c r="E56" s="24"/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4"/>
    </row>
    <row r="61" spans="1:11" ht="21.95" customHeight="1" x14ac:dyDescent="0.25">
      <c r="A61" s="31" t="s">
        <v>39</v>
      </c>
      <c r="B61" s="21" t="str">
        <f t="shared" ca="1" si="6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9"/>
        <v>N/A</v>
      </c>
      <c r="K61" s="85"/>
    </row>
    <row r="62" spans="1:11" ht="21.95" customHeight="1" x14ac:dyDescent="0.25">
      <c r="A62" s="31" t="s">
        <v>19</v>
      </c>
      <c r="B62" s="21" t="str">
        <f t="shared" ca="1" si="6"/>
        <v/>
      </c>
      <c r="C62" s="22"/>
      <c r="D62" s="23"/>
      <c r="E62" s="24"/>
      <c r="F62" s="25"/>
      <c r="G62" s="26"/>
      <c r="H62" s="27"/>
      <c r="I62" s="28" t="str">
        <f t="shared" ref="I62:I72" si="10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 t="str">
        <f t="shared" ca="1" si="6"/>
        <v/>
      </c>
      <c r="C64" s="22"/>
      <c r="D64" s="23"/>
      <c r="E64" s="24"/>
      <c r="F64" s="25"/>
      <c r="G64" s="26"/>
      <c r="H64" s="27"/>
      <c r="I64" s="28" t="str">
        <f t="shared" si="10"/>
        <v>N/A</v>
      </c>
      <c r="J64" s="56" t="str">
        <f t="shared" si="11"/>
        <v>N/A</v>
      </c>
      <c r="K64" s="70"/>
    </row>
    <row r="65" spans="1:11" ht="21.95" customHeight="1" x14ac:dyDescent="0.25">
      <c r="A65" s="31" t="s">
        <v>2</v>
      </c>
      <c r="B65" s="21" t="str">
        <f t="shared" ca="1" si="6"/>
        <v/>
      </c>
      <c r="C65" s="22"/>
      <c r="D65" s="23"/>
      <c r="E65" s="24"/>
      <c r="F65" s="25"/>
      <c r="G65" s="26"/>
      <c r="H65" s="27"/>
      <c r="I65" s="28" t="str">
        <f t="shared" si="10"/>
        <v>N/A</v>
      </c>
      <c r="J65" s="56" t="str">
        <f t="shared" si="11"/>
        <v>N/A</v>
      </c>
      <c r="K65" s="70"/>
    </row>
    <row r="66" spans="1:11" ht="21.95" customHeight="1" x14ac:dyDescent="0.3">
      <c r="A66" s="31" t="s">
        <v>22</v>
      </c>
      <c r="B66" s="21" t="str">
        <f t="shared" ca="1" si="6"/>
        <v/>
      </c>
      <c r="C66" s="22"/>
      <c r="D66" s="45"/>
      <c r="E66" s="24"/>
      <c r="F66" s="25"/>
      <c r="G66" s="26"/>
      <c r="H66" s="27"/>
      <c r="I66" s="28" t="str">
        <f t="shared" si="10"/>
        <v>N/A</v>
      </c>
      <c r="J66" s="56" t="str">
        <f t="shared" si="11"/>
        <v>N/A</v>
      </c>
      <c r="K66" s="70"/>
    </row>
    <row r="67" spans="1:11" ht="21.95" customHeight="1" x14ac:dyDescent="0.25">
      <c r="A67" s="31" t="s">
        <v>23</v>
      </c>
      <c r="B67" s="21" t="str">
        <f t="shared" ca="1" si="6"/>
        <v/>
      </c>
      <c r="C67" s="22"/>
      <c r="D67" s="23"/>
      <c r="E67" s="24"/>
      <c r="F67" s="25"/>
      <c r="G67" s="26"/>
      <c r="H67" s="27"/>
      <c r="I67" s="28" t="str">
        <f t="shared" si="10"/>
        <v>N/A</v>
      </c>
      <c r="J67" s="56" t="str">
        <f t="shared" si="11"/>
        <v>N/A</v>
      </c>
      <c r="K67" s="70"/>
    </row>
    <row r="68" spans="1:11" ht="21.95" customHeight="1" x14ac:dyDescent="0.3">
      <c r="A68" s="31" t="s">
        <v>24</v>
      </c>
      <c r="B68" s="21" t="str">
        <f t="shared" ca="1" si="6"/>
        <v/>
      </c>
      <c r="C68" s="22"/>
      <c r="D68" s="45"/>
      <c r="E68" s="24"/>
      <c r="F68" s="25"/>
      <c r="G68" s="26"/>
      <c r="H68" s="27"/>
      <c r="I68" s="28" t="str">
        <f t="shared" si="10"/>
        <v>N/A</v>
      </c>
      <c r="J68" s="56" t="str">
        <f t="shared" si="11"/>
        <v>N/A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 t="str">
        <f>IF(COUNT(J49:J60),AVERAGE(J49:J60),"N/A")</f>
        <v>N/A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 t="str">
        <f>IF(COUNT(J61:J72),AVERAGE(J61:J72),"N/A")</f>
        <v>N/A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 t="str">
        <f>IF(COUNT(J49:J72),AVERAGE(J49:J72),"N/A")</f>
        <v>N/A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/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45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 t="str">
        <f t="shared" ref="B89:B112" ca="1" si="12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3">IF(F89+G89+H89=0,("N/A"),SUM(F89,G89,H89)/3)</f>
        <v>N/A</v>
      </c>
      <c r="J89" s="72" t="str">
        <f t="shared" ref="J89:J92" si="14">IF(I89="N/A","N/A",I89-E89)</f>
        <v>N/A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/>
      <c r="D90" s="23"/>
      <c r="E90" s="24"/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/>
      <c r="D91" s="23"/>
      <c r="E91" s="24"/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 t="str">
        <f t="shared" ca="1" si="12"/>
        <v/>
      </c>
      <c r="C92" s="22"/>
      <c r="D92" s="23"/>
      <c r="E92" s="24"/>
      <c r="F92" s="25"/>
      <c r="G92" s="26"/>
      <c r="H92" s="27"/>
      <c r="I92" s="28" t="str">
        <f t="shared" si="13"/>
        <v>N/A</v>
      </c>
      <c r="J92" s="72" t="str">
        <f t="shared" si="14"/>
        <v>N/A</v>
      </c>
      <c r="K92" s="71"/>
    </row>
    <row r="93" spans="1:11" ht="21.95" customHeight="1" x14ac:dyDescent="0.25">
      <c r="A93" s="20" t="s">
        <v>9</v>
      </c>
      <c r="B93" s="21" t="str">
        <f t="shared" ca="1" si="12"/>
        <v/>
      </c>
      <c r="C93" s="22"/>
      <c r="D93" s="23"/>
      <c r="E93" s="24"/>
      <c r="F93" s="25"/>
      <c r="G93" s="26"/>
      <c r="H93" s="27"/>
      <c r="I93" s="28" t="str">
        <f t="shared" si="13"/>
        <v>N/A</v>
      </c>
      <c r="J93" s="56" t="str">
        <f>IF(I93="N/A","N/A",I93-E93)</f>
        <v>N/A</v>
      </c>
      <c r="K93" s="70"/>
    </row>
    <row r="94" spans="1:11" ht="21.95" customHeight="1" x14ac:dyDescent="0.25">
      <c r="A94" s="20" t="s">
        <v>10</v>
      </c>
      <c r="B94" s="21" t="str">
        <f t="shared" ca="1" si="12"/>
        <v/>
      </c>
      <c r="C94" s="22"/>
      <c r="D94" s="23"/>
      <c r="E94" s="24"/>
      <c r="F94" s="25"/>
      <c r="G94" s="26"/>
      <c r="H94" s="27"/>
      <c r="I94" s="28" t="str">
        <f t="shared" si="13"/>
        <v>N/A</v>
      </c>
      <c r="J94" s="56" t="str">
        <f t="shared" ref="J94:J101" si="15">IF(I94="N/A","N/A",I94-E94)</f>
        <v>N/A</v>
      </c>
      <c r="K94" s="70"/>
    </row>
    <row r="95" spans="1:11" ht="21.95" customHeight="1" x14ac:dyDescent="0.25">
      <c r="A95" s="20" t="s">
        <v>11</v>
      </c>
      <c r="B95" s="21" t="str">
        <f t="shared" ca="1" si="12"/>
        <v/>
      </c>
      <c r="C95" s="22"/>
      <c r="D95" s="23"/>
      <c r="E95" s="24"/>
      <c r="F95" s="25"/>
      <c r="G95" s="26"/>
      <c r="H95" s="27"/>
      <c r="I95" s="28" t="str">
        <f t="shared" si="13"/>
        <v>N/A</v>
      </c>
      <c r="J95" s="56" t="str">
        <f t="shared" si="15"/>
        <v>N/A</v>
      </c>
      <c r="K95" s="70"/>
    </row>
    <row r="96" spans="1:11" ht="21.95" customHeight="1" x14ac:dyDescent="0.25">
      <c r="A96" s="20" t="s">
        <v>12</v>
      </c>
      <c r="B96" s="21" t="str">
        <f t="shared" ca="1" si="12"/>
        <v/>
      </c>
      <c r="C96" s="22"/>
      <c r="D96" s="23"/>
      <c r="E96" s="24"/>
      <c r="F96" s="25"/>
      <c r="G96" s="26"/>
      <c r="H96" s="27"/>
      <c r="I96" s="28" t="str">
        <f t="shared" si="13"/>
        <v>N/A</v>
      </c>
      <c r="J96" s="56" t="str">
        <f t="shared" si="15"/>
        <v>N/A</v>
      </c>
      <c r="K96" s="70"/>
    </row>
    <row r="97" spans="1:11" ht="21.95" customHeight="1" x14ac:dyDescent="0.25">
      <c r="A97" s="20" t="s">
        <v>13</v>
      </c>
      <c r="B97" s="21" t="str">
        <f t="shared" ca="1" si="12"/>
        <v/>
      </c>
      <c r="C97" s="22"/>
      <c r="D97" s="23"/>
      <c r="E97" s="24"/>
      <c r="F97" s="25"/>
      <c r="G97" s="26"/>
      <c r="H97" s="27"/>
      <c r="I97" s="28" t="str">
        <f t="shared" si="13"/>
        <v>N/A</v>
      </c>
      <c r="J97" s="56" t="str">
        <f t="shared" si="15"/>
        <v>N/A</v>
      </c>
      <c r="K97" s="70"/>
    </row>
    <row r="98" spans="1:11" ht="21.95" customHeight="1" x14ac:dyDescent="0.25">
      <c r="A98" s="20" t="s">
        <v>14</v>
      </c>
      <c r="B98" s="21" t="str">
        <f t="shared" ca="1" si="12"/>
        <v/>
      </c>
      <c r="C98" s="22"/>
      <c r="D98" s="23"/>
      <c r="E98" s="24"/>
      <c r="F98" s="25"/>
      <c r="G98" s="26"/>
      <c r="H98" s="27"/>
      <c r="I98" s="28" t="str">
        <f t="shared" si="13"/>
        <v>N/A</v>
      </c>
      <c r="J98" s="56" t="str">
        <f t="shared" si="15"/>
        <v>N/A</v>
      </c>
      <c r="K98" s="70"/>
    </row>
    <row r="99" spans="1:11" ht="21.95" customHeight="1" x14ac:dyDescent="0.25">
      <c r="A99" s="20" t="s">
        <v>15</v>
      </c>
      <c r="B99" s="21" t="str">
        <f t="shared" ca="1" si="12"/>
        <v/>
      </c>
      <c r="C99" s="22"/>
      <c r="D99" s="23"/>
      <c r="E99" s="24"/>
      <c r="F99" s="25"/>
      <c r="G99" s="26"/>
      <c r="H99" s="27"/>
      <c r="I99" s="28" t="str">
        <f>IF(F99+G99+H99=0,("N/A"),SUM(F99,G99,H99)/3)</f>
        <v>N/A</v>
      </c>
      <c r="J99" s="56" t="str">
        <f t="shared" si="15"/>
        <v>N/A</v>
      </c>
      <c r="K99" s="70"/>
    </row>
    <row r="100" spans="1:11" ht="21.95" customHeight="1" x14ac:dyDescent="0.25">
      <c r="A100" s="30" t="s">
        <v>16</v>
      </c>
      <c r="B100" s="21" t="str">
        <f t="shared" ca="1" si="12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15"/>
        <v>N/A</v>
      </c>
      <c r="K100" s="84"/>
    </row>
    <row r="101" spans="1:11" ht="21.95" customHeight="1" x14ac:dyDescent="0.25">
      <c r="A101" s="31" t="s">
        <v>39</v>
      </c>
      <c r="B101" s="21" t="str">
        <f t="shared" ca="1" si="12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15"/>
        <v>N/A</v>
      </c>
      <c r="K101" s="85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 t="str">
        <f>IF(COUNT(J89:J100),AVERAGE(J89:J100),"N/A")</f>
        <v>N/A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 t="str">
        <f>IF(COUNT(J101:J112),AVERAGE(J101:J112),"N/A")</f>
        <v>N/A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 t="str">
        <f>IF(COUNT(J89:J112),AVERAGE(J89:J112),"N/A")</f>
        <v>N/A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45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44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45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45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85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4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85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4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86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45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09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10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11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71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45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3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71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3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55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">
    <cfRule type="expression" dxfId="59" priority="30">
      <formula>IF(NOT(ISBLANK($F9)),$E9&gt;$F9,FALSE)</formula>
    </cfRule>
  </conditionalFormatting>
  <conditionalFormatting sqref="G9:G32">
    <cfRule type="expression" dxfId="58" priority="29">
      <formula>IF(NOT(ISBLANK($G9)),$E9&gt;$G9,FALSE)</formula>
    </cfRule>
  </conditionalFormatting>
  <conditionalFormatting sqref="H9:H32">
    <cfRule type="expression" dxfId="57" priority="28">
      <formula>IF(NOT(ISBLANK($H9)),$E9&gt;$H9,FALSE)</formula>
    </cfRule>
  </conditionalFormatting>
  <conditionalFormatting sqref="I9:I32">
    <cfRule type="expression" dxfId="56" priority="27">
      <formula>IF(NOT(ISBLANK($I9)),$E9&gt;$I9,FALSE)</formula>
    </cfRule>
  </conditionalFormatting>
  <conditionalFormatting sqref="J9:J32">
    <cfRule type="expression" dxfId="55" priority="26">
      <formula>IF($J9&lt;&gt;"N/A",OR($J9&lt;0,$J9&gt;10),FALSE)</formula>
    </cfRule>
  </conditionalFormatting>
  <conditionalFormatting sqref="F49:F72">
    <cfRule type="expression" dxfId="54" priority="25">
      <formula>IF(NOT(ISBLANK($F49)),$E49&gt;$F49,FALSE)</formula>
    </cfRule>
  </conditionalFormatting>
  <conditionalFormatting sqref="G49:G72">
    <cfRule type="expression" dxfId="53" priority="24">
      <formula>IF(NOT(ISBLANK($G49)),$E49&gt;$G49,FALSE)</formula>
    </cfRule>
  </conditionalFormatting>
  <conditionalFormatting sqref="H49:H72">
    <cfRule type="expression" dxfId="52" priority="23">
      <formula>IF(NOT(ISBLANK($H49)),$E49&gt;$H49,FALSE)</formula>
    </cfRule>
  </conditionalFormatting>
  <conditionalFormatting sqref="I49:I72">
    <cfRule type="expression" dxfId="51" priority="22">
      <formula>IF(NOT(ISBLANK($I49)),$E49&gt;$I49,FALSE)</formula>
    </cfRule>
  </conditionalFormatting>
  <conditionalFormatting sqref="J49:J72">
    <cfRule type="expression" dxfId="50" priority="21">
      <formula>IF($J49&lt;&gt;"N/A",OR($J49&lt;0,$J49&gt;10),FALSE)</formula>
    </cfRule>
  </conditionalFormatting>
  <conditionalFormatting sqref="J89:J112">
    <cfRule type="expression" dxfId="49" priority="16">
      <formula>IF($J89&lt;&gt;"N/A",OR($J89&lt;0,$J89&gt;10),FALSE)</formula>
    </cfRule>
  </conditionalFormatting>
  <conditionalFormatting sqref="J128:J151">
    <cfRule type="expression" dxfId="48" priority="11">
      <formula>IF($J128&lt;&gt;"N/A",OR($J128&lt;0,$J128&gt;10),FALSE)</formula>
    </cfRule>
  </conditionalFormatting>
  <conditionalFormatting sqref="J167:J190">
    <cfRule type="expression" dxfId="47" priority="6">
      <formula>IF($J167&lt;&gt;"N/A",OR($J167&lt;0,$J167&gt;10),FALSE)</formula>
    </cfRule>
  </conditionalFormatting>
  <conditionalFormatting sqref="J206:J229">
    <cfRule type="expression" dxfId="46" priority="1">
      <formula>IF($J206&lt;&gt;"N/A",OR($J206&lt;0,$J206&gt;10),FALSE)</formula>
    </cfRule>
  </conditionalFormatting>
  <conditionalFormatting sqref="F89:F112">
    <cfRule type="expression" dxfId="45" priority="20">
      <formula>IF(NOT(ISBLANK($F89)),$E89&gt;$F89,FALSE)</formula>
    </cfRule>
  </conditionalFormatting>
  <conditionalFormatting sqref="G89:G112">
    <cfRule type="expression" dxfId="44" priority="19">
      <formula>IF(NOT(ISBLANK($G89)),$E89&gt;$G89,FALSE)</formula>
    </cfRule>
  </conditionalFormatting>
  <conditionalFormatting sqref="H89:H112">
    <cfRule type="expression" dxfId="43" priority="18">
      <formula>IF(NOT(ISBLANK($H89)),$E89&gt;$H89,FALSE)</formula>
    </cfRule>
  </conditionalFormatting>
  <conditionalFormatting sqref="I89:I112">
    <cfRule type="expression" dxfId="42" priority="17">
      <formula>IF(NOT(ISBLANK($I89)),$E89&gt;$I89,FALSE)</formula>
    </cfRule>
  </conditionalFormatting>
  <conditionalFormatting sqref="F128:F151">
    <cfRule type="expression" dxfId="41" priority="15">
      <formula>IF(NOT(ISBLANK($F128)),$E128&gt;$F128,FALSE)</formula>
    </cfRule>
  </conditionalFormatting>
  <conditionalFormatting sqref="G128:G151">
    <cfRule type="expression" dxfId="40" priority="14">
      <formula>IF(NOT(ISBLANK($G128)),$E128&gt;$G128,FALSE)</formula>
    </cfRule>
  </conditionalFormatting>
  <conditionalFormatting sqref="H128:H151">
    <cfRule type="expression" dxfId="39" priority="13">
      <formula>IF(NOT(ISBLANK($H128)),$E128&gt;$H128,FALSE)</formula>
    </cfRule>
  </conditionalFormatting>
  <conditionalFormatting sqref="I128:I151">
    <cfRule type="expression" dxfId="38" priority="12">
      <formula>IF(NOT(ISBLANK($I128)),$E128&gt;$I128,FALSE)</formula>
    </cfRule>
  </conditionalFormatting>
  <conditionalFormatting sqref="F167:F190">
    <cfRule type="expression" dxfId="37" priority="10">
      <formula>IF(NOT(ISBLANK($F167)),$E167&gt;$F167,FALSE)</formula>
    </cfRule>
  </conditionalFormatting>
  <conditionalFormatting sqref="G167:G190">
    <cfRule type="expression" dxfId="36" priority="9">
      <formula>IF(NOT(ISBLANK($G167)),$E167&gt;$G167,FALSE)</formula>
    </cfRule>
  </conditionalFormatting>
  <conditionalFormatting sqref="H167:H190">
    <cfRule type="expression" dxfId="35" priority="8">
      <formula>IF(NOT(ISBLANK($H167)),$E167&gt;$H167,FALSE)</formula>
    </cfRule>
  </conditionalFormatting>
  <conditionalFormatting sqref="I167:I190">
    <cfRule type="expression" dxfId="34" priority="7">
      <formula>IF(NOT(ISBLANK($I167)),$E167&gt;$I167,FALSE)</formula>
    </cfRule>
  </conditionalFormatting>
  <conditionalFormatting sqref="F206:F229">
    <cfRule type="expression" dxfId="33" priority="5">
      <formula>IF(NOT(ISBLANK($F206)),$E206&gt;$F206,FALSE)</formula>
    </cfRule>
  </conditionalFormatting>
  <conditionalFormatting sqref="G206:G229">
    <cfRule type="expression" dxfId="32" priority="4">
      <formula>IF(NOT(ISBLANK($G206)),$E206&gt;$G206,FALSE)</formula>
    </cfRule>
  </conditionalFormatting>
  <conditionalFormatting sqref="H206:H229">
    <cfRule type="expression" dxfId="31" priority="3">
      <formula>IF(NOT(ISBLANK($H206)),$E206&gt;$H206,FALSE)</formula>
    </cfRule>
  </conditionalFormatting>
  <conditionalFormatting sqref="I206:I229">
    <cfRule type="expression" dxfId="3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237"/>
  <sheetViews>
    <sheetView zoomScaleNormal="100" zoomScaleSheetLayoutView="100" workbookViewId="0">
      <selection activeCell="C1" sqref="C1:E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46">
        <f ca="1">WEEKNUM(TODAY(),1)</f>
        <v>15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46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72" t="str">
        <f t="shared" si="2"/>
        <v>N/A</v>
      </c>
      <c r="K12" s="71"/>
      <c r="O12" s="53"/>
    </row>
    <row r="13" spans="1:15" ht="21.95" customHeight="1" x14ac:dyDescent="0.25">
      <c r="A13" s="20" t="s">
        <v>9</v>
      </c>
      <c r="B13" s="21" t="str">
        <f t="shared" ca="1" si="0"/>
        <v/>
      </c>
      <c r="C13" s="22"/>
      <c r="D13" s="23"/>
      <c r="E13" s="24"/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70"/>
    </row>
    <row r="14" spans="1:15" ht="21.95" customHeight="1" x14ac:dyDescent="0.25">
      <c r="A14" s="20" t="s">
        <v>10</v>
      </c>
      <c r="B14" s="21" t="str">
        <f t="shared" ca="1" si="0"/>
        <v/>
      </c>
      <c r="C14" s="22"/>
      <c r="D14" s="23"/>
      <c r="E14" s="24"/>
      <c r="F14" s="25"/>
      <c r="G14" s="26"/>
      <c r="H14" s="27"/>
      <c r="I14" s="28" t="str">
        <f t="shared" si="1"/>
        <v>N/A</v>
      </c>
      <c r="J14" s="56" t="str">
        <f t="shared" ref="J14:J21" si="3">IF(I14="N/A","N/A",I14-E14)</f>
        <v>N/A</v>
      </c>
      <c r="K14" s="70"/>
    </row>
    <row r="15" spans="1:15" ht="21.95" customHeight="1" x14ac:dyDescent="0.25">
      <c r="A15" s="20" t="s">
        <v>11</v>
      </c>
      <c r="B15" s="21" t="str">
        <f t="shared" ca="1" si="0"/>
        <v/>
      </c>
      <c r="C15" s="22"/>
      <c r="D15" s="23"/>
      <c r="E15" s="24"/>
      <c r="F15" s="25"/>
      <c r="G15" s="26"/>
      <c r="H15" s="27"/>
      <c r="I15" s="28" t="str">
        <f t="shared" si="1"/>
        <v>N/A</v>
      </c>
      <c r="J15" s="56" t="str">
        <f t="shared" si="3"/>
        <v>N/A</v>
      </c>
      <c r="K15" s="70"/>
    </row>
    <row r="16" spans="1:15" ht="21.95" customHeight="1" x14ac:dyDescent="0.25">
      <c r="A16" s="20" t="s">
        <v>12</v>
      </c>
      <c r="B16" s="21" t="str">
        <f t="shared" ca="1" si="0"/>
        <v/>
      </c>
      <c r="C16" s="22"/>
      <c r="D16" s="23"/>
      <c r="E16" s="24"/>
      <c r="F16" s="25"/>
      <c r="G16" s="26"/>
      <c r="H16" s="27"/>
      <c r="I16" s="28" t="str">
        <f t="shared" si="1"/>
        <v>N/A</v>
      </c>
      <c r="J16" s="56" t="str">
        <f t="shared" si="3"/>
        <v>N/A</v>
      </c>
      <c r="K16" s="70"/>
    </row>
    <row r="17" spans="1:11" ht="21.95" customHeight="1" x14ac:dyDescent="0.25">
      <c r="A17" s="20" t="s">
        <v>13</v>
      </c>
      <c r="B17" s="21" t="str">
        <f t="shared" ca="1" si="0"/>
        <v/>
      </c>
      <c r="C17" s="22"/>
      <c r="D17" s="23"/>
      <c r="E17" s="24"/>
      <c r="F17" s="25"/>
      <c r="G17" s="26"/>
      <c r="H17" s="27"/>
      <c r="I17" s="28" t="str">
        <f t="shared" si="1"/>
        <v>N/A</v>
      </c>
      <c r="J17" s="56" t="str">
        <f t="shared" si="3"/>
        <v>N/A</v>
      </c>
      <c r="K17" s="70"/>
    </row>
    <row r="18" spans="1:11" ht="21.95" customHeight="1" x14ac:dyDescent="0.25">
      <c r="A18" s="20" t="s">
        <v>14</v>
      </c>
      <c r="B18" s="21" t="str">
        <f t="shared" ca="1" si="0"/>
        <v/>
      </c>
      <c r="C18" s="22"/>
      <c r="D18" s="23"/>
      <c r="E18" s="24"/>
      <c r="F18" s="25"/>
      <c r="G18" s="26"/>
      <c r="H18" s="27"/>
      <c r="I18" s="28" t="str">
        <f t="shared" si="1"/>
        <v>N/A</v>
      </c>
      <c r="J18" s="56" t="str">
        <f t="shared" si="3"/>
        <v>N/A</v>
      </c>
      <c r="K18" s="70"/>
    </row>
    <row r="19" spans="1:11" ht="21.95" customHeight="1" x14ac:dyDescent="0.25">
      <c r="A19" s="20" t="s">
        <v>15</v>
      </c>
      <c r="B19" s="21" t="str">
        <f t="shared" ca="1" si="0"/>
        <v/>
      </c>
      <c r="C19" s="22"/>
      <c r="D19" s="23"/>
      <c r="E19" s="24"/>
      <c r="F19" s="25"/>
      <c r="G19" s="26"/>
      <c r="H19" s="27"/>
      <c r="I19" s="28" t="str">
        <f>IF(F19+G19+H19=0,("N/A"),SUM(F19,G19,H19)/3)</f>
        <v>N/A</v>
      </c>
      <c r="J19" s="56" t="str">
        <f t="shared" si="3"/>
        <v>N/A</v>
      </c>
      <c r="K19" s="70"/>
    </row>
    <row r="20" spans="1:11" ht="21.95" customHeight="1" x14ac:dyDescent="0.25">
      <c r="A20" s="30" t="s">
        <v>16</v>
      </c>
      <c r="B20" s="21" t="str">
        <f t="shared" ca="1" si="0"/>
        <v/>
      </c>
      <c r="C20" s="22"/>
      <c r="D20" s="23"/>
      <c r="E20" s="24"/>
      <c r="F20" s="25"/>
      <c r="G20" s="26"/>
      <c r="H20" s="27"/>
      <c r="I20" s="28" t="str">
        <f>IF(F20+G20+H20=0,("N/A"),SUM(F20,G20,H20)/3)</f>
        <v>N/A</v>
      </c>
      <c r="J20" s="56" t="str">
        <f t="shared" si="3"/>
        <v>N/A</v>
      </c>
      <c r="K20" s="83"/>
    </row>
    <row r="21" spans="1:11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3"/>
        <v>N/A</v>
      </c>
      <c r="K21" s="71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2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2" si="5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4"/>
        <v>N/A</v>
      </c>
      <c r="J24" s="56" t="str">
        <f t="shared" si="5"/>
        <v>N/A</v>
      </c>
      <c r="K24" s="70"/>
    </row>
    <row r="25" spans="1:11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4"/>
        <v>N/A</v>
      </c>
      <c r="J25" s="56" t="str">
        <f t="shared" si="5"/>
        <v>N/A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4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 t="str">
        <f>IF(COUNT(J9:J20),AVERAGE(J9:J20),"N/A")</f>
        <v>N/A</v>
      </c>
      <c r="G33" s="58"/>
      <c r="H33" s="58"/>
      <c r="I33" s="79"/>
      <c r="K33" s="86"/>
    </row>
    <row r="34" spans="1:11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 t="str">
        <f>IF(COUNT(J21:J32),AVERAGE(J21:J32),"N/A")</f>
        <v>N/A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 t="str">
        <f>IF(COUNT(J9:J32),AVERAGE(J9:J32),"N/A")</f>
        <v>N/A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1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46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44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45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45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2" si="8">IF(I49="N/A","N/A",I49-E49)</f>
        <v>N/A</v>
      </c>
      <c r="K49" s="85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 t="str">
        <f t="shared" ca="1" si="6"/>
        <v/>
      </c>
      <c r="C52" s="22"/>
      <c r="D52" s="23"/>
      <c r="E52" s="24"/>
      <c r="F52" s="25"/>
      <c r="G52" s="26"/>
      <c r="H52" s="27"/>
      <c r="I52" s="28" t="str">
        <f t="shared" si="7"/>
        <v>N/A</v>
      </c>
      <c r="J52" s="72" t="str">
        <f t="shared" si="8"/>
        <v>N/A</v>
      </c>
      <c r="K52" s="71"/>
    </row>
    <row r="53" spans="1:11" ht="21.95" customHeight="1" x14ac:dyDescent="0.25">
      <c r="A53" s="20" t="s">
        <v>9</v>
      </c>
      <c r="B53" s="21" t="str">
        <f t="shared" ca="1" si="6"/>
        <v/>
      </c>
      <c r="C53" s="22"/>
      <c r="D53" s="23"/>
      <c r="E53" s="24"/>
      <c r="F53" s="25"/>
      <c r="G53" s="26"/>
      <c r="H53" s="27"/>
      <c r="I53" s="28" t="str">
        <f t="shared" si="7"/>
        <v>N/A</v>
      </c>
      <c r="J53" s="56" t="str">
        <f>IF(I53="N/A","N/A",I53-E53)</f>
        <v>N/A</v>
      </c>
      <c r="K53" s="70"/>
    </row>
    <row r="54" spans="1:11" ht="21.95" customHeight="1" x14ac:dyDescent="0.25">
      <c r="A54" s="20" t="s">
        <v>10</v>
      </c>
      <c r="B54" s="21" t="str">
        <f t="shared" ca="1" si="6"/>
        <v/>
      </c>
      <c r="C54" s="22"/>
      <c r="D54" s="23"/>
      <c r="E54" s="24"/>
      <c r="F54" s="25"/>
      <c r="G54" s="26"/>
      <c r="H54" s="27"/>
      <c r="I54" s="28" t="str">
        <f t="shared" si="7"/>
        <v>N/A</v>
      </c>
      <c r="J54" s="56" t="str">
        <f t="shared" ref="J54:J61" si="9">IF(I54="N/A","N/A",I54-E54)</f>
        <v>N/A</v>
      </c>
      <c r="K54" s="70"/>
    </row>
    <row r="55" spans="1:11" ht="21.95" customHeight="1" x14ac:dyDescent="0.25">
      <c r="A55" s="20" t="s">
        <v>11</v>
      </c>
      <c r="B55" s="21" t="str">
        <f t="shared" ca="1" si="6"/>
        <v/>
      </c>
      <c r="C55" s="22"/>
      <c r="D55" s="23"/>
      <c r="E55" s="24"/>
      <c r="F55" s="25"/>
      <c r="G55" s="26"/>
      <c r="H55" s="27"/>
      <c r="I55" s="28" t="str">
        <f t="shared" si="7"/>
        <v>N/A</v>
      </c>
      <c r="J55" s="56" t="str">
        <f t="shared" si="9"/>
        <v>N/A</v>
      </c>
      <c r="K55" s="70"/>
    </row>
    <row r="56" spans="1:11" ht="21.95" customHeight="1" x14ac:dyDescent="0.25">
      <c r="A56" s="20" t="s">
        <v>12</v>
      </c>
      <c r="B56" s="21" t="str">
        <f t="shared" ca="1" si="6"/>
        <v/>
      </c>
      <c r="C56" s="22"/>
      <c r="D56" s="23"/>
      <c r="E56" s="24"/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3"/>
    </row>
    <row r="61" spans="1:11" ht="21.95" customHeight="1" x14ac:dyDescent="0.25">
      <c r="A61" s="31" t="s">
        <v>39</v>
      </c>
      <c r="B61" s="21" t="str">
        <f t="shared" ca="1" si="6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9"/>
        <v>N/A</v>
      </c>
      <c r="K61" s="71"/>
    </row>
    <row r="62" spans="1:11" ht="21.95" customHeight="1" x14ac:dyDescent="0.25">
      <c r="A62" s="31" t="s">
        <v>19</v>
      </c>
      <c r="B62" s="21" t="str">
        <f t="shared" ca="1" si="6"/>
        <v/>
      </c>
      <c r="C62" s="22"/>
      <c r="D62" s="23"/>
      <c r="E62" s="24"/>
      <c r="F62" s="25"/>
      <c r="G62" s="26"/>
      <c r="H62" s="27"/>
      <c r="I62" s="28" t="str">
        <f t="shared" ref="I62:I72" si="10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 t="str">
        <f t="shared" ca="1" si="6"/>
        <v/>
      </c>
      <c r="C64" s="22"/>
      <c r="D64" s="23"/>
      <c r="E64" s="24"/>
      <c r="F64" s="25"/>
      <c r="G64" s="26"/>
      <c r="H64" s="27"/>
      <c r="I64" s="28" t="str">
        <f t="shared" si="10"/>
        <v>N/A</v>
      </c>
      <c r="J64" s="56" t="str">
        <f t="shared" si="11"/>
        <v>N/A</v>
      </c>
      <c r="K64" s="70"/>
    </row>
    <row r="65" spans="1:11" ht="21.95" customHeight="1" x14ac:dyDescent="0.25">
      <c r="A65" s="31" t="s">
        <v>2</v>
      </c>
      <c r="B65" s="21" t="str">
        <f t="shared" ca="1" si="6"/>
        <v/>
      </c>
      <c r="C65" s="22"/>
      <c r="D65" s="23"/>
      <c r="E65" s="24"/>
      <c r="F65" s="25"/>
      <c r="G65" s="26"/>
      <c r="H65" s="27"/>
      <c r="I65" s="28" t="str">
        <f t="shared" si="10"/>
        <v>N/A</v>
      </c>
      <c r="J65" s="56" t="str">
        <f t="shared" si="11"/>
        <v>N/A</v>
      </c>
      <c r="K65" s="70"/>
    </row>
    <row r="66" spans="1:11" ht="21.95" customHeight="1" x14ac:dyDescent="0.3">
      <c r="A66" s="31" t="s">
        <v>22</v>
      </c>
      <c r="B66" s="21" t="str">
        <f t="shared" ca="1" si="6"/>
        <v/>
      </c>
      <c r="C66" s="22"/>
      <c r="D66" s="45"/>
      <c r="E66" s="24"/>
      <c r="F66" s="25"/>
      <c r="G66" s="26"/>
      <c r="H66" s="27"/>
      <c r="I66" s="28" t="str">
        <f t="shared" si="10"/>
        <v>N/A</v>
      </c>
      <c r="J66" s="56" t="str">
        <f t="shared" si="11"/>
        <v>N/A</v>
      </c>
      <c r="K66" s="70"/>
    </row>
    <row r="67" spans="1:11" ht="21.95" customHeight="1" x14ac:dyDescent="0.25">
      <c r="A67" s="31" t="s">
        <v>23</v>
      </c>
      <c r="B67" s="21" t="str">
        <f t="shared" ca="1" si="6"/>
        <v/>
      </c>
      <c r="C67" s="22"/>
      <c r="D67" s="23"/>
      <c r="E67" s="24"/>
      <c r="F67" s="25"/>
      <c r="G67" s="26"/>
      <c r="H67" s="27"/>
      <c r="I67" s="28" t="str">
        <f t="shared" si="10"/>
        <v>N/A</v>
      </c>
      <c r="J67" s="56" t="str">
        <f t="shared" si="11"/>
        <v>N/A</v>
      </c>
      <c r="K67" s="70"/>
    </row>
    <row r="68" spans="1:11" ht="21.95" customHeight="1" x14ac:dyDescent="0.3">
      <c r="A68" s="31" t="s">
        <v>24</v>
      </c>
      <c r="B68" s="21" t="str">
        <f t="shared" ca="1" si="6"/>
        <v/>
      </c>
      <c r="C68" s="22"/>
      <c r="D68" s="45"/>
      <c r="E68" s="24"/>
      <c r="F68" s="25"/>
      <c r="G68" s="26"/>
      <c r="H68" s="27"/>
      <c r="I68" s="28" t="str">
        <f t="shared" si="10"/>
        <v>N/A</v>
      </c>
      <c r="J68" s="56" t="str">
        <f t="shared" si="11"/>
        <v>N/A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 t="str">
        <f>IF(COUNT(J49:J60),AVERAGE(J49:J60),"N/A")</f>
        <v>N/A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 t="str">
        <f>IF(COUNT(J61:J72),AVERAGE(J61:J72),"N/A")</f>
        <v>N/A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 t="str">
        <f>IF(COUNT(J49:J72),AVERAGE(J49:J72),"N/A")</f>
        <v>N/A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/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46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 t="str">
        <f t="shared" ref="B89:B112" ca="1" si="12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3">IF(F89+G89+H89=0,("N/A"),SUM(F89,G89,H89)/3)</f>
        <v>N/A</v>
      </c>
      <c r="J89" s="72" t="str">
        <f t="shared" ref="J89:J92" si="14">IF(I89="N/A","N/A",I89-E89)</f>
        <v>N/A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/>
      <c r="D90" s="23"/>
      <c r="E90" s="24"/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/>
      <c r="D91" s="23"/>
      <c r="E91" s="24"/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 t="str">
        <f t="shared" ca="1" si="12"/>
        <v/>
      </c>
      <c r="C92" s="22"/>
      <c r="D92" s="23"/>
      <c r="E92" s="24"/>
      <c r="F92" s="25"/>
      <c r="G92" s="26"/>
      <c r="H92" s="27"/>
      <c r="I92" s="28" t="str">
        <f t="shared" si="13"/>
        <v>N/A</v>
      </c>
      <c r="J92" s="72" t="str">
        <f t="shared" si="14"/>
        <v>N/A</v>
      </c>
      <c r="K92" s="71"/>
    </row>
    <row r="93" spans="1:11" ht="21.95" customHeight="1" x14ac:dyDescent="0.25">
      <c r="A93" s="20" t="s">
        <v>9</v>
      </c>
      <c r="B93" s="21" t="str">
        <f t="shared" ca="1" si="12"/>
        <v/>
      </c>
      <c r="C93" s="22"/>
      <c r="D93" s="23"/>
      <c r="E93" s="24"/>
      <c r="F93" s="25"/>
      <c r="G93" s="26"/>
      <c r="H93" s="27"/>
      <c r="I93" s="28" t="str">
        <f t="shared" si="13"/>
        <v>N/A</v>
      </c>
      <c r="J93" s="56" t="str">
        <f>IF(I93="N/A","N/A",I93-E93)</f>
        <v>N/A</v>
      </c>
      <c r="K93" s="70"/>
    </row>
    <row r="94" spans="1:11" ht="21.95" customHeight="1" x14ac:dyDescent="0.25">
      <c r="A94" s="20" t="s">
        <v>10</v>
      </c>
      <c r="B94" s="21" t="str">
        <f t="shared" ca="1" si="12"/>
        <v/>
      </c>
      <c r="C94" s="22"/>
      <c r="D94" s="23"/>
      <c r="E94" s="24"/>
      <c r="F94" s="25"/>
      <c r="G94" s="26"/>
      <c r="H94" s="27"/>
      <c r="I94" s="28" t="str">
        <f t="shared" si="13"/>
        <v>N/A</v>
      </c>
      <c r="J94" s="56" t="str">
        <f t="shared" ref="J94:J101" si="15">IF(I94="N/A","N/A",I94-E94)</f>
        <v>N/A</v>
      </c>
      <c r="K94" s="70"/>
    </row>
    <row r="95" spans="1:11" ht="21.95" customHeight="1" x14ac:dyDescent="0.25">
      <c r="A95" s="20" t="s">
        <v>11</v>
      </c>
      <c r="B95" s="21" t="str">
        <f t="shared" ca="1" si="12"/>
        <v/>
      </c>
      <c r="C95" s="22"/>
      <c r="D95" s="23"/>
      <c r="E95" s="24"/>
      <c r="F95" s="25"/>
      <c r="G95" s="26"/>
      <c r="H95" s="27"/>
      <c r="I95" s="28" t="str">
        <f t="shared" si="13"/>
        <v>N/A</v>
      </c>
      <c r="J95" s="56" t="str">
        <f t="shared" si="15"/>
        <v>N/A</v>
      </c>
      <c r="K95" s="70"/>
    </row>
    <row r="96" spans="1:11" ht="21.95" customHeight="1" x14ac:dyDescent="0.25">
      <c r="A96" s="20" t="s">
        <v>12</v>
      </c>
      <c r="B96" s="21" t="str">
        <f t="shared" ca="1" si="12"/>
        <v/>
      </c>
      <c r="C96" s="22"/>
      <c r="D96" s="23"/>
      <c r="E96" s="24"/>
      <c r="F96" s="25"/>
      <c r="G96" s="26"/>
      <c r="H96" s="27"/>
      <c r="I96" s="28" t="str">
        <f t="shared" si="13"/>
        <v>N/A</v>
      </c>
      <c r="J96" s="56" t="str">
        <f t="shared" si="15"/>
        <v>N/A</v>
      </c>
      <c r="K96" s="70"/>
    </row>
    <row r="97" spans="1:11" ht="21.95" customHeight="1" x14ac:dyDescent="0.25">
      <c r="A97" s="20" t="s">
        <v>13</v>
      </c>
      <c r="B97" s="21" t="str">
        <f t="shared" ca="1" si="12"/>
        <v/>
      </c>
      <c r="C97" s="22"/>
      <c r="D97" s="23"/>
      <c r="E97" s="24"/>
      <c r="F97" s="25"/>
      <c r="G97" s="26"/>
      <c r="H97" s="27"/>
      <c r="I97" s="28" t="str">
        <f t="shared" si="13"/>
        <v>N/A</v>
      </c>
      <c r="J97" s="56" t="str">
        <f t="shared" si="15"/>
        <v>N/A</v>
      </c>
      <c r="K97" s="70"/>
    </row>
    <row r="98" spans="1:11" ht="21.95" customHeight="1" x14ac:dyDescent="0.25">
      <c r="A98" s="20" t="s">
        <v>14</v>
      </c>
      <c r="B98" s="21" t="str">
        <f t="shared" ca="1" si="12"/>
        <v/>
      </c>
      <c r="C98" s="22"/>
      <c r="D98" s="23"/>
      <c r="E98" s="24"/>
      <c r="F98" s="25"/>
      <c r="G98" s="26"/>
      <c r="H98" s="27"/>
      <c r="I98" s="28" t="str">
        <f t="shared" si="13"/>
        <v>N/A</v>
      </c>
      <c r="J98" s="56" t="str">
        <f t="shared" si="15"/>
        <v>N/A</v>
      </c>
      <c r="K98" s="70"/>
    </row>
    <row r="99" spans="1:11" ht="21.95" customHeight="1" x14ac:dyDescent="0.25">
      <c r="A99" s="20" t="s">
        <v>15</v>
      </c>
      <c r="B99" s="21" t="str">
        <f t="shared" ca="1" si="12"/>
        <v/>
      </c>
      <c r="C99" s="22"/>
      <c r="D99" s="23"/>
      <c r="E99" s="24"/>
      <c r="F99" s="25"/>
      <c r="G99" s="26"/>
      <c r="H99" s="27"/>
      <c r="I99" s="28" t="str">
        <f>IF(F99+G99+H99=0,("N/A"),SUM(F99,G99,H99)/3)</f>
        <v>N/A</v>
      </c>
      <c r="J99" s="56" t="str">
        <f t="shared" si="15"/>
        <v>N/A</v>
      </c>
      <c r="K99" s="70"/>
    </row>
    <row r="100" spans="1:11" ht="21.95" customHeight="1" x14ac:dyDescent="0.25">
      <c r="A100" s="30" t="s">
        <v>16</v>
      </c>
      <c r="B100" s="21" t="str">
        <f t="shared" ca="1" si="12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15"/>
        <v>N/A</v>
      </c>
      <c r="K100" s="83"/>
    </row>
    <row r="101" spans="1:11" ht="21.95" customHeight="1" x14ac:dyDescent="0.25">
      <c r="A101" s="31" t="s">
        <v>39</v>
      </c>
      <c r="B101" s="21" t="str">
        <f t="shared" ca="1" si="12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15"/>
        <v>N/A</v>
      </c>
      <c r="K101" s="71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 t="str">
        <f>IF(COUNT(J89:J100),AVERAGE(J89:J100),"N/A")</f>
        <v>N/A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 t="str">
        <f>IF(COUNT(J101:J112),AVERAGE(J101:J112),"N/A")</f>
        <v>N/A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 t="str">
        <f>IF(COUNT(J89:J112),AVERAGE(J89:J112),"N/A")</f>
        <v>N/A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46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09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10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11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71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4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85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3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55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46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44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45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45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85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3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71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46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4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85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4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86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">
    <cfRule type="expression" dxfId="29" priority="30">
      <formula>IF(NOT(ISBLANK($F9)),$E9&gt;$F9,FALSE)</formula>
    </cfRule>
  </conditionalFormatting>
  <conditionalFormatting sqref="G9:G32">
    <cfRule type="expression" dxfId="28" priority="29">
      <formula>IF(NOT(ISBLANK($G9)),$E9&gt;$G9,FALSE)</formula>
    </cfRule>
  </conditionalFormatting>
  <conditionalFormatting sqref="H9:H32">
    <cfRule type="expression" dxfId="27" priority="28">
      <formula>IF(NOT(ISBLANK($H9)),$E9&gt;$H9,FALSE)</formula>
    </cfRule>
  </conditionalFormatting>
  <conditionalFormatting sqref="I9:I32">
    <cfRule type="expression" dxfId="26" priority="27">
      <formula>IF(NOT(ISBLANK($I9)),$E9&gt;$I9,FALSE)</formula>
    </cfRule>
  </conditionalFormatting>
  <conditionalFormatting sqref="J9:J32">
    <cfRule type="expression" dxfId="25" priority="26">
      <formula>IF($J9&lt;&gt;"N/A",OR($J9&lt;0,$J9&gt;10),FALSE)</formula>
    </cfRule>
  </conditionalFormatting>
  <conditionalFormatting sqref="F49:F72">
    <cfRule type="expression" dxfId="24" priority="25">
      <formula>IF(NOT(ISBLANK($F49)),$E49&gt;$F49,FALSE)</formula>
    </cfRule>
  </conditionalFormatting>
  <conditionalFormatting sqref="G49:G72">
    <cfRule type="expression" dxfId="23" priority="24">
      <formula>IF(NOT(ISBLANK($G49)),$E49&gt;$G49,FALSE)</formula>
    </cfRule>
  </conditionalFormatting>
  <conditionalFormatting sqref="H49:H72">
    <cfRule type="expression" dxfId="22" priority="23">
      <formula>IF(NOT(ISBLANK($H49)),$E49&gt;$H49,FALSE)</formula>
    </cfRule>
  </conditionalFormatting>
  <conditionalFormatting sqref="I49:I72">
    <cfRule type="expression" dxfId="21" priority="22">
      <formula>IF(NOT(ISBLANK($I49)),$E49&gt;$I49,FALSE)</formula>
    </cfRule>
  </conditionalFormatting>
  <conditionalFormatting sqref="J49:J72">
    <cfRule type="expression" dxfId="20" priority="21">
      <formula>IF($J49&lt;&gt;"N/A",OR($J49&lt;0,$J49&gt;10),FALSE)</formula>
    </cfRule>
  </conditionalFormatting>
  <conditionalFormatting sqref="J89:J112">
    <cfRule type="expression" dxfId="19" priority="16">
      <formula>IF($J89&lt;&gt;"N/A",OR($J89&lt;0,$J89&gt;10),FALSE)</formula>
    </cfRule>
  </conditionalFormatting>
  <conditionalFormatting sqref="J128:J151">
    <cfRule type="expression" dxfId="18" priority="11">
      <formula>IF($J128&lt;&gt;"N/A",OR($J128&lt;0,$J128&gt;10),FALSE)</formula>
    </cfRule>
  </conditionalFormatting>
  <conditionalFormatting sqref="J167:J190">
    <cfRule type="expression" dxfId="17" priority="6">
      <formula>IF($J167&lt;&gt;"N/A",OR($J167&lt;0,$J167&gt;10),FALSE)</formula>
    </cfRule>
  </conditionalFormatting>
  <conditionalFormatting sqref="J206:J229">
    <cfRule type="expression" dxfId="16" priority="1">
      <formula>IF($J206&lt;&gt;"N/A",OR($J206&lt;0,$J206&gt;10),FALSE)</formula>
    </cfRule>
  </conditionalFormatting>
  <conditionalFormatting sqref="F89:F112">
    <cfRule type="expression" dxfId="15" priority="20">
      <formula>IF(NOT(ISBLANK($F89)),$E89&gt;$F89,FALSE)</formula>
    </cfRule>
  </conditionalFormatting>
  <conditionalFormatting sqref="G89:G112">
    <cfRule type="expression" dxfId="14" priority="19">
      <formula>IF(NOT(ISBLANK($G89)),$E89&gt;$G89,FALSE)</formula>
    </cfRule>
  </conditionalFormatting>
  <conditionalFormatting sqref="H89:H112">
    <cfRule type="expression" dxfId="13" priority="18">
      <formula>IF(NOT(ISBLANK($H89)),$E89&gt;$H89,FALSE)</formula>
    </cfRule>
  </conditionalFormatting>
  <conditionalFormatting sqref="I89:I112">
    <cfRule type="expression" dxfId="12" priority="17">
      <formula>IF(NOT(ISBLANK($I89)),$E89&gt;$I89,FALSE)</formula>
    </cfRule>
  </conditionalFormatting>
  <conditionalFormatting sqref="F128:F151">
    <cfRule type="expression" dxfId="11" priority="15">
      <formula>IF(NOT(ISBLANK($F128)),$E128&gt;$F128,FALSE)</formula>
    </cfRule>
  </conditionalFormatting>
  <conditionalFormatting sqref="G128:G151">
    <cfRule type="expression" dxfId="10" priority="14">
      <formula>IF(NOT(ISBLANK($G128)),$E128&gt;$G128,FALSE)</formula>
    </cfRule>
  </conditionalFormatting>
  <conditionalFormatting sqref="H128:H151">
    <cfRule type="expression" dxfId="9" priority="13">
      <formula>IF(NOT(ISBLANK($H128)),$E128&gt;$H128,FALSE)</formula>
    </cfRule>
  </conditionalFormatting>
  <conditionalFormatting sqref="I128:I151">
    <cfRule type="expression" dxfId="8" priority="12">
      <formula>IF(NOT(ISBLANK($I128)),$E128&gt;$I128,FALSE)</formula>
    </cfRule>
  </conditionalFormatting>
  <conditionalFormatting sqref="F167:F190">
    <cfRule type="expression" dxfId="7" priority="10">
      <formula>IF(NOT(ISBLANK($F167)),$E167&gt;$F167,FALSE)</formula>
    </cfRule>
  </conditionalFormatting>
  <conditionalFormatting sqref="G167:G190">
    <cfRule type="expression" dxfId="6" priority="9">
      <formula>IF(NOT(ISBLANK($G167)),$E167&gt;$G167,FALSE)</formula>
    </cfRule>
  </conditionalFormatting>
  <conditionalFormatting sqref="H167:H190">
    <cfRule type="expression" dxfId="5" priority="8">
      <formula>IF(NOT(ISBLANK($H167)),$E167&gt;$H167,FALSE)</formula>
    </cfRule>
  </conditionalFormatting>
  <conditionalFormatting sqref="I167:I190">
    <cfRule type="expression" dxfId="4" priority="7">
      <formula>IF(NOT(ISBLANK($I167)),$E167&gt;$I167,FALSE)</formula>
    </cfRule>
  </conditionalFormatting>
  <conditionalFormatting sqref="F206:F229">
    <cfRule type="expression" dxfId="3" priority="5">
      <formula>IF(NOT(ISBLANK($F206)),$E206&gt;$F206,FALSE)</formula>
    </cfRule>
  </conditionalFormatting>
  <conditionalFormatting sqref="G206:G229">
    <cfRule type="expression" dxfId="2" priority="4">
      <formula>IF(NOT(ISBLANK($G206)),$E206&gt;$G206,FALSE)</formula>
    </cfRule>
  </conditionalFormatting>
  <conditionalFormatting sqref="H206:H229">
    <cfRule type="expression" dxfId="1" priority="3">
      <formula>IF(NOT(ISBLANK($H206)),$E206&gt;$H206,FALSE)</formula>
    </cfRule>
  </conditionalFormatting>
  <conditionalFormatting sqref="I206:I229">
    <cfRule type="expression" dxfId="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Q60"/>
  <sheetViews>
    <sheetView zoomScaleNormal="100" workbookViewId="0"/>
  </sheetViews>
  <sheetFormatPr defaultColWidth="8.85546875" defaultRowHeight="12.75" x14ac:dyDescent="0.2"/>
  <cols>
    <col min="1" max="1" width="22.42578125" style="2" customWidth="1"/>
    <col min="2" max="2" width="12.7109375" style="2" customWidth="1"/>
    <col min="3" max="3" width="1.7109375" style="2" customWidth="1"/>
    <col min="4" max="4" width="12.7109375" style="2" customWidth="1"/>
    <col min="5" max="5" width="1.7109375" style="2" customWidth="1"/>
    <col min="6" max="6" width="12.7109375" style="2" customWidth="1"/>
    <col min="7" max="7" width="1.7109375" style="2" customWidth="1"/>
    <col min="8" max="8" width="12.7109375" style="2" customWidth="1"/>
    <col min="9" max="9" width="1.7109375" style="2" customWidth="1"/>
    <col min="10" max="10" width="12.7109375" style="2" customWidth="1"/>
    <col min="11" max="11" width="1.7109375" style="2" customWidth="1"/>
    <col min="12" max="12" width="12.7109375" style="2" customWidth="1"/>
    <col min="13" max="13" width="1.7109375" style="2" customWidth="1"/>
    <col min="14" max="14" width="12.7109375" style="2" customWidth="1"/>
    <col min="15" max="15" width="1.5703125" style="2" customWidth="1"/>
    <col min="16" max="16" width="13.28515625" style="2" bestFit="1" customWidth="1"/>
    <col min="17" max="16384" width="8.85546875" style="2"/>
  </cols>
  <sheetData>
    <row r="1" spans="1:16" ht="16.5" thickBot="1" x14ac:dyDescent="0.3">
      <c r="A1" s="1" t="s">
        <v>48</v>
      </c>
      <c r="B1" s="1" t="s">
        <v>49</v>
      </c>
      <c r="C1" s="1"/>
      <c r="D1" s="1" t="s">
        <v>50</v>
      </c>
      <c r="E1" s="1"/>
      <c r="F1" s="1" t="s">
        <v>51</v>
      </c>
      <c r="G1" s="1"/>
      <c r="H1" s="1" t="s">
        <v>52</v>
      </c>
      <c r="I1" s="1"/>
      <c r="J1" s="1" t="s">
        <v>53</v>
      </c>
      <c r="K1" s="1"/>
      <c r="L1" s="1" t="s">
        <v>54</v>
      </c>
      <c r="M1" s="1"/>
      <c r="N1" s="1" t="s">
        <v>55</v>
      </c>
      <c r="O1" s="1"/>
      <c r="P1" s="1" t="s">
        <v>78</v>
      </c>
    </row>
    <row r="2" spans="1:16" ht="13.9" customHeight="1" thickTop="1" x14ac:dyDescent="0.2">
      <c r="A2" s="154" t="s">
        <v>56</v>
      </c>
      <c r="B2" s="151" t="str">
        <f>IF(COUNT('MACHINE 6-1'!J9:J32,'MACHINE 6-1'!J49:J72,'MACHINE 6-1'!J89:J112,'MACHINE 6-1'!J129:J152,'MACHINE 6-1'!J169:J192,'MACHINE 6-1'!J209:J232,'MACHINE 6-1'!J249:J272),AVERAGE('MACHINE 6-1'!J9:J32,'MACHINE 6-1'!J49:J72,'MACHINE 6-1'!J89:J112,'MACHINE 6-1'!J129:J152,'MACHINE 6-1'!J169:J192,'MACHINE 6-1'!J209:J232,'MACHINE 6-1'!J249:J272),"N/A")</f>
        <v>N/A</v>
      </c>
      <c r="C2" s="10"/>
      <c r="D2" s="151" t="str">
        <f>IF(COUNT('MACHINE 6-2 (10-2)'!J9:J32,'MACHINE 6-2 (10-2)'!J48:J71,'MACHINE 6-2 (10-2)'!J87:J110,'MACHINE 6-2 (10-2)'!J126:J149,'MACHINE 6-2 (10-2)'!J165:J188,'MACHINE 6-2 (10-2)'!J204:J227,'MACHINE 6-2 (10-2)'!J243:J266),AVERAGE('MACHINE 6-2 (10-2)'!J9:J32,'MACHINE 6-2 (10-2)'!J48:J71,'MACHINE 6-2 (10-2)'!J87:J110,'MACHINE 6-2 (10-2)'!J126:J149,'MACHINE 6-2 (10-2)'!J165:J188,'MACHINE 6-2 (10-2)'!J204:J227,'MACHINE 6-2 (10-2)'!J243:J266),"N/A")</f>
        <v>N/A</v>
      </c>
      <c r="E2" s="10"/>
      <c r="F2" s="151" t="str">
        <f>IF(COUNT('MACHINE 10-3'!J9:J32,'MACHINE 10-3'!J49:J72,'MACHINE 10-3'!J89:J112,'MACHINE 10-3'!J128:J151,'MACHINE 10-3'!J167:J190,'MACHINE 10-3'!J206:J229),AVERAGE('MACHINE 10-3'!J9:J32,'MACHINE 10-3'!J49:J72,'MACHINE 10-3'!J89:J112,'MACHINE 10-3'!J128:J151,'MACHINE 10-3'!J167:J190,'MACHINE 10-3'!J206:J229),"N/A")</f>
        <v>N/A</v>
      </c>
      <c r="G2" s="10"/>
      <c r="H2" s="156" t="str">
        <f>IF(COUNT('MACHINE 10-4'!J9:J32,'MACHINE 10-4'!J49:J72,'MACHINE 10-4'!J89:J112,'MACHINE 10-4'!J128:J151,'MACHINE 10-4'!J167:J190,'MACHINE 10-4'!J206:J229),AVERAGE('MACHINE 10-4'!J9:J32,'MACHINE 10-4'!J49:J72,'MACHINE 10-4'!J89:J112,'MACHINE 10-4'!J128:J151,'MACHINE 10-4'!J167:J190,'MACHINE 10-4'!J206:J229),"N/A")</f>
        <v>N/A</v>
      </c>
      <c r="I2" s="10"/>
      <c r="J2" s="151" t="str">
        <f>IF(COUNT('MACHINE 10-5'!J9:J32,'MACHINE 10-5'!J49:J72,'MACHINE 10-5'!J89:J112,'MACHINE 10-5'!J128:J151,'MACHINE 10-5'!J167:J190,'MACHINE 10-5'!J206:J229),AVERAGE('MACHINE 10-5'!J9:J32,'MACHINE 10-5'!J49:J72,'MACHINE 10-5'!J89:J112,'MACHINE 10-5'!J128:J151,'MACHINE 10-5'!J167:J190,'MACHINE 10-5'!J206:J229),"N/A")</f>
        <v>N/A</v>
      </c>
      <c r="K2" s="10"/>
      <c r="L2" s="151" t="str">
        <f>IF(COUNT('MACHINE 10-6'!J9:J32,'MACHINE 10-6'!J49:J72,'MACHINE 10-6'!J89:J112,'MACHINE 10-6'!J128:J151,'MACHINE 10-6'!J167:J190,'MACHINE 10-6'!J206:J229),AVERAGE('MACHINE 10-6'!J9:J32,'MACHINE 10-6'!J49:J72,'MACHINE 10-6'!J89:J112,'MACHINE 10-6'!J128:J151,'MACHINE 10-6'!J167:J190,'MACHINE 10-6'!J206:J229),"N/A")</f>
        <v>N/A</v>
      </c>
      <c r="M2" s="10"/>
      <c r="N2" s="151" t="str">
        <f>IF(COUNT('MACHINE 10-7'!J9:J32,'MACHINE 10-7'!J49:J72,'MACHINE 10-7'!J89:J112,'MACHINE 10-7'!J128:J151,'MACHINE 10-7'!J167:J190,'MACHINE 10-7'!J206:J229),AVERAGE('MACHINE 10-7'!J9:J32,'MACHINE 10-7'!J49:J72,'MACHINE 10-7'!J89:J112,'MACHINE 10-7'!J128:J151,'MACHINE 10-7'!J167:J190,'MACHINE 10-7'!J206:J229),"N/A")</f>
        <v>N/A</v>
      </c>
      <c r="O2" s="10"/>
      <c r="P2" s="151" t="str">
        <f>IF(COUNT('MACHINE 6-1'!J9:J32,'MACHINE 6-1'!J49:J72,'MACHINE 6-1'!J89:J112,'MACHINE 6-1'!J129:J152,'MACHINE 6-1'!J169:J192,'MACHINE 6-1'!J209:J232,'MACHINE 6-1'!J249:J272,'MACHINE 6-2 (10-2)'!J9:J32,'MACHINE 6-2 (10-2)'!J48:J71,'MACHINE 6-2 (10-2)'!J87:J110,'MACHINE 6-2 (10-2)'!J126:J149,'MACHINE 6-2 (10-2)'!J165:J188,'MACHINE 6-2 (10-2)'!J204:J227,'MACHINE 6-2 (10-2)'!J243:J266,'MACHINE 10-3:MACHINE 10-7'!J9:J27,'MACHINE 10-3:MACHINE 10-7'!J44:J62,'MACHINE 10-3:MACHINE 10-7'!J79:J97,'MACHINE 10-3:MACHINE 10-7'!J113:J131,'MACHINE 10-3:MACHINE 10-7'!J147:J165,'MACHINE 10-3:MACHINE 10-7'!J181:J199),AVERAGE('MACHINE 6-1'!J9:J32,'MACHINE 6-1'!J49:J72,'MACHINE 6-1'!J89:J112,'MACHINE 6-1'!J129:J152,'MACHINE 6-1'!J169:J192,'MACHINE 6-1'!J209:J232,'MACHINE 6-1'!J249:J272,'MACHINE 6-2 (10-2)'!J9:J32,'MACHINE 6-2 (10-2)'!J48:J71,'MACHINE 6-2 (10-2)'!J87:J110,'MACHINE 6-2 (10-2)'!J126:J149,'MACHINE 6-2 (10-2)'!J165:J188,'MACHINE 6-2 (10-2)'!J204:J227,'MACHINE 6-2 (10-2)'!J243:J266,'MACHINE 10-3:MACHINE 10-7'!J9:J27,'MACHINE 10-3:MACHINE 10-7'!J44:J62,'MACHINE 10-3:MACHINE 10-7'!J79:J97,'MACHINE 10-3:MACHINE 10-7'!J113:J131,'MACHINE 10-3:MACHINE 10-7'!J147:J165,'MACHINE 10-3:MACHINE 10-7'!J181:J199),"N/A")</f>
        <v>N/A</v>
      </c>
    </row>
    <row r="3" spans="1:16" ht="13.15" customHeight="1" x14ac:dyDescent="0.2">
      <c r="A3" s="155"/>
      <c r="B3" s="152"/>
      <c r="C3" s="10"/>
      <c r="D3" s="152"/>
      <c r="E3" s="10"/>
      <c r="F3" s="152"/>
      <c r="G3" s="10"/>
      <c r="H3" s="152"/>
      <c r="I3" s="10"/>
      <c r="J3" s="152"/>
      <c r="K3" s="10"/>
      <c r="L3" s="152"/>
      <c r="M3" s="10"/>
      <c r="N3" s="152"/>
      <c r="O3" s="10"/>
      <c r="P3" s="152"/>
    </row>
    <row r="4" spans="1:16" ht="14.25" x14ac:dyDescent="0.2">
      <c r="A4" s="155"/>
      <c r="B4" s="11" t="s">
        <v>57</v>
      </c>
      <c r="C4" s="10"/>
      <c r="D4" s="11" t="s">
        <v>57</v>
      </c>
      <c r="E4" s="10"/>
      <c r="F4" s="11" t="s">
        <v>57</v>
      </c>
      <c r="G4" s="10"/>
      <c r="H4" s="11" t="s">
        <v>57</v>
      </c>
      <c r="I4" s="10"/>
      <c r="J4" s="11" t="s">
        <v>57</v>
      </c>
      <c r="K4" s="10"/>
      <c r="L4" s="11" t="s">
        <v>57</v>
      </c>
      <c r="M4" s="10"/>
      <c r="N4" s="11" t="s">
        <v>57</v>
      </c>
      <c r="O4" s="10"/>
      <c r="P4" s="11" t="s">
        <v>57</v>
      </c>
    </row>
    <row r="5" spans="1:16" x14ac:dyDescent="0.2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 x14ac:dyDescent="0.2">
      <c r="A6" s="157" t="s">
        <v>58</v>
      </c>
      <c r="B6" s="151" t="str">
        <f>IF(COUNT(B24,D24,F24,H24,J24,L24,N24),AVERAGE(B24,D24,F24,H24,J24,L24,N24),"N/A")</f>
        <v>N/A</v>
      </c>
      <c r="C6" s="12"/>
      <c r="D6" s="151" t="str">
        <f>IF(COUNT(B25,D25,F25,H25,J25,L25,N25),AVERAGE(B25,D25,F25,H25,J25,L25,N25),"N/A")</f>
        <v>N/A</v>
      </c>
      <c r="E6" s="10"/>
      <c r="F6" s="151" t="str">
        <f>IF(COUNT(B26,D26,F26,H26,J26,L26),AVERAGE(B26,D26,F26,H26,J26,L26),"N/A")</f>
        <v>N/A</v>
      </c>
      <c r="G6" s="12"/>
      <c r="H6" s="151" t="str">
        <f>IF(COUNT(B27,D27,F27,H27,J27,L27),AVERAGE(B27,D27,F27,H27,J27,L27),"N/A")</f>
        <v>N/A</v>
      </c>
      <c r="I6" s="10"/>
      <c r="J6" s="151" t="str">
        <f>IF(COUNT(B28,D28,F28,H28,J28,L28),AVERAGE(B28,D28,F28,H28,J28,L28),"N/A")</f>
        <v>N/A</v>
      </c>
      <c r="K6" s="12"/>
      <c r="L6" s="151" t="str">
        <f>IF(COUNT(B29,D29,F29,H29,J29,L29),AVERAGE(B29,D29,F29,H29,J29,L29),"N/A")</f>
        <v>N/A</v>
      </c>
      <c r="M6" s="10"/>
      <c r="N6" s="151" t="str">
        <f>IF(COUNT(B30,D30,F30,H30,J30,L30),AVERAGE(B30,D30,F30,H30,J30,L30),"N/A")</f>
        <v>N/A</v>
      </c>
      <c r="O6" s="10"/>
      <c r="P6" s="151" t="str">
        <f>IF(COUNT(B24,D24,F24,H24,J24,L24,N24,B25,D25,F25,H25,J25,L25,N25,B26,D26,F26,H26,J26,L26,B27,D27,F27,H27,J27,L27,B28,D28,F28,H28,J28,L28,B29,D29,F29,H29,J29,L29,B30,D30,F30,H30,J30,L30),AVERAGE(B24,D24,F24,H24,J24,L24,N24,B25,D25,F25,H25,J25,L25,N25,B26,D26,F26,H26,J26,L26,B27,D27,F27,H27,J27,L27,B28,D28,F28,H28,J28,L28,B29,D29,F29,H29,J29,L29,B30,D30,F30,H30,J30,L30),"N/A")</f>
        <v>N/A</v>
      </c>
    </row>
    <row r="7" spans="1:16" x14ac:dyDescent="0.2">
      <c r="A7" s="157"/>
      <c r="B7" s="152"/>
      <c r="C7" s="12"/>
      <c r="D7" s="152"/>
      <c r="E7" s="10"/>
      <c r="F7" s="152"/>
      <c r="G7" s="12"/>
      <c r="H7" s="152"/>
      <c r="I7" s="10"/>
      <c r="J7" s="152"/>
      <c r="K7" s="12"/>
      <c r="L7" s="152"/>
      <c r="M7" s="10"/>
      <c r="N7" s="152"/>
      <c r="O7" s="10"/>
      <c r="P7" s="152"/>
    </row>
    <row r="8" spans="1:16" ht="14.25" x14ac:dyDescent="0.2">
      <c r="A8" s="157"/>
      <c r="B8" s="11" t="s">
        <v>57</v>
      </c>
      <c r="C8" s="12"/>
      <c r="D8" s="11" t="s">
        <v>57</v>
      </c>
      <c r="E8" s="10"/>
      <c r="F8" s="11" t="s">
        <v>57</v>
      </c>
      <c r="G8" s="12"/>
      <c r="H8" s="11" t="s">
        <v>57</v>
      </c>
      <c r="I8" s="10"/>
      <c r="J8" s="11" t="s">
        <v>57</v>
      </c>
      <c r="K8" s="12"/>
      <c r="L8" s="11" t="s">
        <v>57</v>
      </c>
      <c r="M8" s="10"/>
      <c r="N8" s="11" t="s">
        <v>57</v>
      </c>
      <c r="O8" s="10"/>
      <c r="P8" s="11" t="s">
        <v>57</v>
      </c>
    </row>
    <row r="9" spans="1:16" x14ac:dyDescent="0.2">
      <c r="B9" s="10"/>
      <c r="C9" s="12"/>
      <c r="D9" s="10"/>
      <c r="E9" s="10"/>
      <c r="F9" s="10"/>
      <c r="G9" s="12"/>
      <c r="H9" s="10"/>
      <c r="I9" s="10"/>
      <c r="J9" s="10"/>
      <c r="K9" s="12"/>
      <c r="L9" s="10"/>
      <c r="M9" s="10"/>
      <c r="N9" s="10"/>
      <c r="O9" s="10"/>
      <c r="P9" s="10"/>
    </row>
    <row r="10" spans="1:16" x14ac:dyDescent="0.2">
      <c r="A10" s="157" t="s">
        <v>80</v>
      </c>
      <c r="B10" s="151" t="str">
        <f>IF(COUNT(B34,D34,F34,H34,J34,L34,N34),AVERAGE(B34,D34,F34,H34,J34,L34,N34),"N/A")</f>
        <v>N/A</v>
      </c>
      <c r="C10" s="12"/>
      <c r="D10" s="151" t="str">
        <f>IF(COUNT(B35,D35,F35,H35,J35,L35,N35),AVERAGE(B35,D35,F35,H35,J35,L35,N35),"N/A")</f>
        <v>N/A</v>
      </c>
      <c r="E10" s="10"/>
      <c r="F10" s="151" t="str">
        <f>IF(COUNT(B36,D36,F36,H36,J36,L36),AVERAGE(B36,D36,F36,H36,J36,L36),"N/A")</f>
        <v>N/A</v>
      </c>
      <c r="G10" s="12"/>
      <c r="H10" s="151" t="str">
        <f>IF(COUNT(B37,D37,F37,H37,J37,L37),AVERAGE(B37,D37,F37,H37,J37,L37),"N/A")</f>
        <v>N/A</v>
      </c>
      <c r="I10" s="10"/>
      <c r="J10" s="151" t="str">
        <f>IF(COUNT(B38,D38,F38,H38,J38,L38),AVERAGE(B38,D38,F38,H38,J38,L38),"N/A")</f>
        <v>N/A</v>
      </c>
      <c r="K10" s="12"/>
      <c r="L10" s="151" t="str">
        <f>IF(COUNT(B39,D39,F39,H39,J39,L39),AVERAGE(B39,D39,F39,H39,J39,L39),"N/A")</f>
        <v>N/A</v>
      </c>
      <c r="M10" s="10"/>
      <c r="N10" s="151" t="str">
        <f>IF(COUNT(B40,D40,F40,H40,J40,L40),AVERAGE(B40,D40,F40,H40,J40,L40),"N/A")</f>
        <v>N/A</v>
      </c>
      <c r="O10" s="10"/>
      <c r="P10" s="151" t="str">
        <f>IF(COUNT(B34,D34,F34,H34,J34,L34,N34,B35,D35,F35,H35,J35,L35,N35,B36,D36,F36,H36,J36,L36,B37,D37,F37,H37,J37,L37,B38,D38,F38,H38,J38,L38,B39,D39,F39,H39,J39,L39,B40,D40,F40,H40,J40,L40),AVERAGE(B34,D34,F34,H34,J34,L34,N34,B35,D35,F35,H35,J35,L35,N35,B36,D36,F36,H36,J36,L36,B37,D37,F37,H37,J37,L37,B38,D38,F38,H38,J38,L38,B39,D39,F39,H39,J39,L39,B40,D40,F40,H40,J40,L40),"N/A")</f>
        <v>N/A</v>
      </c>
    </row>
    <row r="11" spans="1:16" x14ac:dyDescent="0.2">
      <c r="A11" s="157"/>
      <c r="B11" s="152"/>
      <c r="C11" s="12"/>
      <c r="D11" s="152"/>
      <c r="E11" s="10"/>
      <c r="F11" s="152"/>
      <c r="G11" s="12"/>
      <c r="H11" s="152"/>
      <c r="I11" s="10"/>
      <c r="J11" s="152"/>
      <c r="K11" s="12"/>
      <c r="L11" s="152"/>
      <c r="M11" s="10"/>
      <c r="N11" s="152"/>
      <c r="O11" s="10"/>
      <c r="P11" s="152"/>
    </row>
    <row r="12" spans="1:16" ht="14.25" x14ac:dyDescent="0.2">
      <c r="A12" s="157"/>
      <c r="B12" s="11" t="s">
        <v>57</v>
      </c>
      <c r="C12" s="12"/>
      <c r="D12" s="11" t="s">
        <v>57</v>
      </c>
      <c r="E12" s="10"/>
      <c r="F12" s="11" t="s">
        <v>57</v>
      </c>
      <c r="G12" s="12"/>
      <c r="H12" s="11" t="s">
        <v>57</v>
      </c>
      <c r="I12" s="10"/>
      <c r="J12" s="11" t="s">
        <v>57</v>
      </c>
      <c r="K12" s="12"/>
      <c r="L12" s="11" t="s">
        <v>57</v>
      </c>
      <c r="M12" s="10"/>
      <c r="N12" s="11" t="s">
        <v>57</v>
      </c>
      <c r="O12" s="10"/>
      <c r="P12" s="11" t="s">
        <v>57</v>
      </c>
    </row>
    <row r="13" spans="1:16" x14ac:dyDescent="0.2">
      <c r="B13" s="10"/>
      <c r="C13" s="12"/>
      <c r="D13" s="10"/>
      <c r="E13" s="10"/>
      <c r="F13" s="10"/>
      <c r="G13" s="12"/>
      <c r="H13" s="10"/>
      <c r="I13" s="10"/>
      <c r="J13" s="10"/>
      <c r="K13" s="12"/>
      <c r="L13" s="10"/>
      <c r="M13" s="10"/>
      <c r="N13" s="10"/>
      <c r="O13" s="10"/>
      <c r="P13" s="10"/>
    </row>
    <row r="14" spans="1:16" ht="12.75" customHeight="1" x14ac:dyDescent="0.2">
      <c r="A14" s="157" t="s">
        <v>81</v>
      </c>
      <c r="B14" s="151" t="str">
        <f>IF(COUNT(B44,D44,F44,H44,J44,L44,N44),AVERAGE(B44,D44,F44,H44,J44,L44,N44),"N/A")</f>
        <v>N/A</v>
      </c>
      <c r="C14" s="12"/>
      <c r="D14" s="151" t="str">
        <f>IF(COUNT(B45,D45,F45,H45,J45,L45,N45),AVERAGE(B45,D45,F45,H45,J45,L45,N45),"N/A")</f>
        <v>N/A</v>
      </c>
      <c r="E14" s="10"/>
      <c r="F14" s="151" t="str">
        <f>IF(COUNT(B46,D46,F46,H46,J46,L46),AVERAGE(B46,D46,F46,H46,J46,L46),"N/A")</f>
        <v>N/A</v>
      </c>
      <c r="G14" s="12"/>
      <c r="H14" s="151" t="str">
        <f>IF(COUNT(B47,D47,F47,H47,J47,L47),AVERAGE(B47,D47,F47,H47,J47,L47),"N/A")</f>
        <v>N/A</v>
      </c>
      <c r="I14" s="10"/>
      <c r="J14" s="151" t="str">
        <f>IF(COUNT(B48,D48,F48,H48,J48,L48),AVERAGE(B48,D48,F48,H48,J48,L48),"N/A")</f>
        <v>N/A</v>
      </c>
      <c r="K14" s="12"/>
      <c r="L14" s="151" t="str">
        <f>IF(COUNT(B49,D49,F49,H49,J49,L49),AVERAGE(B49,D49,F49,H49,J49,L49),"N/A")</f>
        <v>N/A</v>
      </c>
      <c r="M14" s="10"/>
      <c r="N14" s="151" t="str">
        <f>IF(COUNT(B50,D50,F50,H50,J50,L50),AVERAGE(B50,D50,F50,H50,J50,L50),"N/A")</f>
        <v>N/A</v>
      </c>
      <c r="O14" s="10"/>
      <c r="P14" s="151" t="str">
        <f>IF(COUNT(B44,D44,F44,H44,J44,L44,N44,B45,D45,F45,H45,J45,L45,N45,B46,D46,F46,H46,J46,L46,B47,D47,F47,H47,J47,L47,B48,D48,F48,H48,J48,L48,B49,D49,F49,H49,J49,L49,B50,D50,F50,H50,J50,L50),AVERAGE(B44,D44,F44,H44,J44,L44,N44,B45,D45,F45,H45,J45,L45,N45,B46,D46,F46,H46,J46,L46,B47,D47,F47,H47,J47,L47,B48,D48,F48,H48,J48,L48,B49,D49,F49,H49,J49,L49,B50,D50,F50,H50,J50,L50),"N/A")</f>
        <v>N/A</v>
      </c>
    </row>
    <row r="15" spans="1:16" ht="12.75" customHeight="1" x14ac:dyDescent="0.2">
      <c r="A15" s="157"/>
      <c r="B15" s="152"/>
      <c r="C15" s="12"/>
      <c r="D15" s="152"/>
      <c r="E15" s="10"/>
      <c r="F15" s="152"/>
      <c r="G15" s="12"/>
      <c r="H15" s="152"/>
      <c r="I15" s="10"/>
      <c r="J15" s="152"/>
      <c r="K15" s="12"/>
      <c r="L15" s="152"/>
      <c r="M15" s="10"/>
      <c r="N15" s="152"/>
      <c r="O15" s="10"/>
      <c r="P15" s="152"/>
    </row>
    <row r="16" spans="1:16" ht="14.25" x14ac:dyDescent="0.2">
      <c r="A16" s="157"/>
      <c r="B16" s="11" t="s">
        <v>57</v>
      </c>
      <c r="C16" s="12"/>
      <c r="D16" s="11" t="s">
        <v>57</v>
      </c>
      <c r="E16" s="10"/>
      <c r="F16" s="11" t="s">
        <v>57</v>
      </c>
      <c r="G16" s="12"/>
      <c r="H16" s="11" t="s">
        <v>57</v>
      </c>
      <c r="I16" s="10"/>
      <c r="J16" s="11" t="s">
        <v>57</v>
      </c>
      <c r="K16" s="12"/>
      <c r="L16" s="11" t="s">
        <v>57</v>
      </c>
      <c r="M16" s="10"/>
      <c r="N16" s="11" t="s">
        <v>57</v>
      </c>
      <c r="O16" s="10"/>
      <c r="P16" s="11" t="s">
        <v>57</v>
      </c>
    </row>
    <row r="17" spans="1:17" x14ac:dyDescent="0.2">
      <c r="B17" s="10"/>
      <c r="C17" s="12"/>
      <c r="D17" s="10"/>
      <c r="E17" s="10"/>
      <c r="F17" s="10"/>
      <c r="G17" s="12"/>
      <c r="H17" s="10"/>
      <c r="I17" s="10"/>
      <c r="J17" s="10"/>
      <c r="K17" s="12"/>
      <c r="L17" s="10"/>
      <c r="M17" s="10"/>
      <c r="N17" s="10"/>
      <c r="O17" s="10"/>
      <c r="P17" s="10"/>
    </row>
    <row r="18" spans="1:17" x14ac:dyDescent="0.2">
      <c r="A18" s="153" t="s">
        <v>59</v>
      </c>
      <c r="B18" s="151" t="str">
        <f>IF(COUNT(B54,D54,F54,H54,J54,L54,N54),AVERAGE(B54,D54,F54,H54,J54,L54,N54),"N/A")</f>
        <v>N/A</v>
      </c>
      <c r="C18" s="12"/>
      <c r="D18" s="151" t="str">
        <f>IF(COUNT(B55,D55,F55,H55,J55,L55,N55),AVERAGE(B55,D55,F55,H55,J55,L55,N55),"N/A")</f>
        <v>N/A</v>
      </c>
      <c r="E18" s="10"/>
      <c r="F18" s="151" t="str">
        <f>IF(COUNT(B56,D56,F56,H56,J56,L56),AVERAGE(B56,D56,F56,H56,J56,L56),"N/A")</f>
        <v>N/A</v>
      </c>
      <c r="G18" s="12"/>
      <c r="H18" s="151" t="str">
        <f>IF(COUNT(B57,D57,F57,H57,J57,L57),AVERAGE(B57,D57,F57,H57,J57,L57),"N/A")</f>
        <v>N/A</v>
      </c>
      <c r="I18" s="10"/>
      <c r="J18" s="151" t="str">
        <f>IF(COUNT(B58,D58,F58,H58,J58,L58),AVERAGE(B58,D58,F58,H58,J58,L58),"N/A")</f>
        <v>N/A</v>
      </c>
      <c r="K18" s="12"/>
      <c r="L18" s="151" t="str">
        <f>IF(COUNT(B59,D59,F59,H59,J59,L59),AVERAGE(B59,D59,F59,H59,J59,L59),"N/A")</f>
        <v>N/A</v>
      </c>
      <c r="M18" s="10"/>
      <c r="N18" s="151" t="str">
        <f>IF(COUNT(B60,D60,F60,H60,J60,L60),AVERAGE(B60,D60,F60,H60,J60,L60),"N/A")</f>
        <v>N/A</v>
      </c>
      <c r="O18" s="10"/>
      <c r="P18" s="151" t="str">
        <f>IF(COUNT(B54,D54,F54,H54,J54,L54,N54,B55,D55,F55,H55,J55,L55,N55,B56,D56,F56,H56,J56,L56,B57,D57,F57,H57,J57,L57,B58,D58,F58,H58,J58,L58,B59,D59,F59,H59,J59,L59,B60,D60,F60,H60,J60,L60),AVERAGE(B54,D54,F54,H54,J54,L54,N54,B55,D55,F55,H55,J55,L55,N55,B56,D56,F56,H56,J56,L56,B57,D57,F57,H57,J57,L57,B58,D58,F58,H58,J58,L58,B59,D59,F59,H59,J59,L59,B60,D60,F60,H60,J60,L60),"N/A")</f>
        <v>N/A</v>
      </c>
    </row>
    <row r="19" spans="1:17" x14ac:dyDescent="0.2">
      <c r="A19" s="153"/>
      <c r="B19" s="152"/>
      <c r="C19" s="12"/>
      <c r="D19" s="152"/>
      <c r="E19" s="10"/>
      <c r="F19" s="152"/>
      <c r="G19" s="12"/>
      <c r="H19" s="152"/>
      <c r="I19" s="10"/>
      <c r="J19" s="152"/>
      <c r="K19" s="12"/>
      <c r="L19" s="152"/>
      <c r="M19" s="10"/>
      <c r="N19" s="152"/>
      <c r="O19" s="10"/>
      <c r="P19" s="152"/>
    </row>
    <row r="20" spans="1:17" ht="14.25" x14ac:dyDescent="0.2">
      <c r="A20" s="153"/>
      <c r="B20" s="11" t="s">
        <v>57</v>
      </c>
      <c r="C20" s="12"/>
      <c r="D20" s="11" t="s">
        <v>57</v>
      </c>
      <c r="E20" s="10"/>
      <c r="F20" s="11" t="s">
        <v>57</v>
      </c>
      <c r="G20" s="12"/>
      <c r="H20" s="11" t="s">
        <v>57</v>
      </c>
      <c r="I20" s="10"/>
      <c r="J20" s="11" t="s">
        <v>57</v>
      </c>
      <c r="K20" s="12"/>
      <c r="L20" s="11" t="s">
        <v>57</v>
      </c>
      <c r="M20" s="10"/>
      <c r="N20" s="11" t="s">
        <v>57</v>
      </c>
      <c r="O20" s="10"/>
      <c r="P20" s="11" t="s">
        <v>57</v>
      </c>
    </row>
    <row r="22" spans="1:17" x14ac:dyDescent="0.2">
      <c r="A22" s="4"/>
      <c r="B22" s="158" t="s">
        <v>73</v>
      </c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</row>
    <row r="23" spans="1:17" x14ac:dyDescent="0.2">
      <c r="A23" s="4"/>
      <c r="B23" s="5" t="s">
        <v>61</v>
      </c>
      <c r="C23" s="5"/>
      <c r="D23" s="5" t="s">
        <v>62</v>
      </c>
      <c r="E23" s="5"/>
      <c r="F23" s="5" t="s">
        <v>63</v>
      </c>
      <c r="G23" s="5"/>
      <c r="H23" s="5" t="s">
        <v>64</v>
      </c>
      <c r="I23" s="5"/>
      <c r="J23" s="5" t="s">
        <v>65</v>
      </c>
      <c r="K23" s="5"/>
      <c r="L23" s="5" t="s">
        <v>66</v>
      </c>
      <c r="M23" s="5"/>
      <c r="N23" s="5" t="s">
        <v>67</v>
      </c>
    </row>
    <row r="24" spans="1:17" x14ac:dyDescent="0.2">
      <c r="A24" s="6" t="s">
        <v>60</v>
      </c>
      <c r="B24" s="8" t="str">
        <f>IF(ISNUMBER(IF(COUNT('MACHINE 6-1'!J9:J32),AVERAGEIF('MACHINE 6-1'!E9:E32,"&lt;=56.6",'MACHINE 6-1'!J9:J32),"N/A")),IF(COUNT('MACHINE 6-1'!J9:J32),AVERAGEIF('MACHINE 6-1'!E9:E32,"&lt;=56.6",'MACHINE 6-1'!J9:J32),"N/A"),"")</f>
        <v/>
      </c>
      <c r="C24" s="47"/>
      <c r="D24" s="8" t="str">
        <f>IF(ISNUMBER(IF(COUNT('MACHINE 6-1'!J49:J72),AVERAGEIF('MACHINE 6-1'!$E$49:$E$72,"&lt;=56.6",'MACHINE 6-1'!$J$49:$J$72),"N/A")),IF(COUNT('MACHINE 6-1'!J49:J72),AVERAGEIF('MACHINE 6-1'!$E$49:$E$72,"&lt;=56.6",'MACHINE 6-1'!$J$49:$J$72),"N/A"),"")</f>
        <v/>
      </c>
      <c r="E24" s="8"/>
      <c r="F24" s="8" t="str">
        <f>IF(ISNUMBER(IF(COUNT('MACHINE 6-1'!J89:J112),AVERAGEIF('MACHINE 6-1'!$E$89:$E$112,"&lt;=56.6",'MACHINE 6-1'!$J$89:$J$112),"N/A")),IF(COUNT('MACHINE 6-1'!J89:J112),AVERAGEIF('MACHINE 6-1'!$E$89:$E$112,"&lt;=56.6",'MACHINE 6-1'!$J$89:$J$112),"N/A"),"")</f>
        <v/>
      </c>
      <c r="G24" s="8"/>
      <c r="H24" s="8" t="str">
        <f>IF(ISNUMBER(IF(COUNT('MACHINE 6-1'!J129:J152),AVERAGEIF('MACHINE 6-1'!$E$129:$E$152,"&lt;=56.6",'MACHINE 6-1'!$J$129:$J$152),"N/A")),IF(COUNT('MACHINE 6-1'!J129:J152),AVERAGEIF('MACHINE 6-1'!$E$129:$E$152,"&lt;=56.6",'MACHINE 6-1'!$J$129:$J$152),"N/A"),"")</f>
        <v/>
      </c>
      <c r="I24" s="8"/>
      <c r="J24" s="8" t="str">
        <f>IF(ISNUMBER(IF(COUNT('MACHINE 6-1'!J169:J192),AVERAGEIF('MACHINE 6-1'!$E$169:$E$192,"&lt;=56.6",'MACHINE 6-1'!$J$169:$J$192),"N/A")),IF(COUNT('MACHINE 6-1'!J169:J192),AVERAGEIF('MACHINE 6-1'!$E$169:$E$192,"&lt;=56.6",'MACHINE 6-1'!$J$169:$J$192),"N/A"),"")</f>
        <v/>
      </c>
      <c r="K24" s="8"/>
      <c r="L24" s="8" t="str">
        <f>IF(ISNUMBER(IF(COUNT('MACHINE 6-1'!J209:J232),AVERAGEIF('MACHINE 6-1'!$E$209:$E$232,"&lt;=56.6",'MACHINE 6-1'!$J$209:$J$232),"N/A")),IF(COUNT('MACHINE 6-1'!J209:J232),AVERAGEIF('MACHINE 6-1'!$E$209:$E$232,"&lt;=56.6",'MACHINE 6-1'!$J$209:$J$232),"N/A"),"")</f>
        <v/>
      </c>
      <c r="M24" s="8"/>
      <c r="N24" s="8" t="str">
        <f>IF(ISNUMBER(IF(COUNT('MACHINE 6-1'!J249:J272),AVERAGEIF('MACHINE 6-1'!$E$249:$E$272,"&lt;=56.6",'MACHINE 6-1'!$J$249:$J$272),"N/A")),IF(COUNT('MACHINE 6-1'!J249:J272),AVERAGEIF('MACHINE 6-1'!$E$249:$E$272,"&lt;=56.6",'MACHINE 6-1'!$J$249:$J$272),"N/A"),"")</f>
        <v/>
      </c>
    </row>
    <row r="25" spans="1:17" x14ac:dyDescent="0.2">
      <c r="A25" s="5" t="s">
        <v>76</v>
      </c>
      <c r="B25" s="8" t="str">
        <f>IF(ISNUMBER(IF(COUNT('MACHINE 6-2 (10-2)'!J9:J32),AVERAGEIF('MACHINE 6-2 (10-2)'!$E$9:$E$32,"&lt;=56.6",'MACHINE 6-2 (10-2)'!$J$9:$J$32),"N/A")),IF(COUNT('MACHINE 6-2 (10-2)'!J9:J32),AVERAGEIF('MACHINE 6-2 (10-2)'!$E$9:$E$32,"&lt;=56.6",'MACHINE 6-2 (10-2)'!$J$9:$J$32),"N/A"),"")</f>
        <v/>
      </c>
      <c r="C25" s="8"/>
      <c r="D25" s="8" t="str">
        <f>IF(ISNUMBER(IF(COUNT('MACHINE 6-2 (10-2)'!J48:J71),AVERAGEIF('MACHINE 6-2 (10-2)'!$E$48:$E$71,"&lt;=56.6",'MACHINE 6-2 (10-2)'!$J$48:$J$71),"N/A")),IF(COUNT('MACHINE 6-2 (10-2)'!J48:J71),AVERAGEIF('MACHINE 6-2 (10-2)'!$E$48:$E$71,"&lt;=56.6",'MACHINE 6-2 (10-2)'!$J$48:$J$71),"N/A"),"")</f>
        <v/>
      </c>
      <c r="E25" s="8"/>
      <c r="F25" s="8" t="str">
        <f>IF(ISNUMBER(IF(COUNT('MACHINE 6-2 (10-2)'!J87:J110),AVERAGEIF('MACHINE 6-2 (10-2)'!$E$87:$E$110,"&lt;=56.6",'MACHINE 6-2 (10-2)'!$J$87:$J$110),"N/A")),IF(COUNT('MACHINE 6-2 (10-2)'!J87:J110),AVERAGEIF('MACHINE 6-2 (10-2)'!$E$87:$E$110,"&lt;=56.6",'MACHINE 6-2 (10-2)'!$J$87:$J$110),"N/A"),"")</f>
        <v/>
      </c>
      <c r="G25" s="8"/>
      <c r="H25" s="8" t="str">
        <f>IF(ISNUMBER(IF(COUNT('MACHINE 6-2 (10-2)'!J126:J149),AVERAGEIF('MACHINE 6-2 (10-2)'!$E$126:$E$149,"&lt;=56.6",'MACHINE 6-2 (10-2)'!$J$126:$J$149),"N/A")),IF(COUNT('MACHINE 6-2 (10-2)'!J126:J149),AVERAGEIF('MACHINE 6-2 (10-2)'!$E$126:$E$149,"&lt;=56.6",'MACHINE 6-2 (10-2)'!$J$126:$J$149),"N/A"),"")</f>
        <v/>
      </c>
      <c r="I25" s="8"/>
      <c r="J25" s="8" t="str">
        <f>IF(ISNUMBER(IF(COUNT('MACHINE 6-2 (10-2)'!J165:J188),AVERAGEIF('MACHINE 6-2 (10-2)'!$E$165:$E$188,"&lt;=56.6",'MACHINE 6-2 (10-2)'!$J$165:$J$188),"N/A")),IF(COUNT('MACHINE 6-2 (10-2)'!J165:J188),AVERAGEIF('MACHINE 6-2 (10-2)'!$E$165:$E$188,"&lt;=56.6",'MACHINE 6-2 (10-2)'!$J$165:$J$188),"N/A"),"")</f>
        <v/>
      </c>
      <c r="K25" s="8"/>
      <c r="L25" s="8" t="str">
        <f>IF(ISNUMBER(IF(COUNT('MACHINE 6-2 (10-2)'!J204:J227),AVERAGEIF('MACHINE 6-2 (10-2)'!$E$204:$E$227,"&lt;=56.6",'MACHINE 6-2 (10-2)'!$J$204:$J$227),"N/A")),IF(COUNT('MACHINE 6-2 (10-2)'!J204:J227),AVERAGEIF('MACHINE 6-2 (10-2)'!$E$204:$E$227,"&lt;=56.6",'MACHINE 6-2 (10-2)'!$J$204:$J$227),"N/A"),"")</f>
        <v/>
      </c>
      <c r="M25" s="8"/>
      <c r="N25" s="8" t="str">
        <f>IF(ISNUMBER(IF(COUNT('MACHINE 6-2 (10-2)'!J243:J266),AVERAGEIF('MACHINE 6-2 (10-2)'!$E$243:$E$266,"&lt;=56.6",'MACHINE 6-2 (10-2)'!$J$243:$J$266),"N/A")),IF(COUNT('MACHINE 6-2 (10-2)'!J243:J266),AVERAGEIF('MACHINE 6-2 (10-2)'!$E$243:$E$266,"&lt;=56.6",'MACHINE 6-2 (10-2)'!$J$243:$J$266),"N/A"),"")</f>
        <v/>
      </c>
    </row>
    <row r="26" spans="1:17" x14ac:dyDescent="0.2">
      <c r="A26" s="5" t="s">
        <v>68</v>
      </c>
      <c r="B26" s="8" t="str">
        <f>IF(ISNUMBER(IF(COUNT('MACHINE 10-3'!J9:J32),AVERAGEIF('MACHINE 10-3'!E9:E32,"&lt;=56.6",'MACHINE 10-3'!J9:J32),"N/A")),IF(COUNT('MACHINE 10-3'!J9:J32),AVERAGEIF('MACHINE 10-3'!E9:E32,"&lt;=56.6",'MACHINE 10-3'!J9:J32),"N/A"),"")</f>
        <v/>
      </c>
      <c r="C26" s="8"/>
      <c r="D26" s="8" t="str">
        <f>IF(ISNUMBER(IF(COUNT('MACHINE 10-3'!J49:J72),AVERAGEIF('MACHINE 10-3'!E49:E72,"&lt;=56.6",'MACHINE 10-3'!J49:J72),"N/A")),IF(COUNT('MACHINE 10-3'!J49:J72),AVERAGEIF('MACHINE 10-3'!E49:E72,"&lt;=56.6",'MACHINE 10-3'!J49:J72),"N/A"),"")</f>
        <v/>
      </c>
      <c r="E26" s="8"/>
      <c r="F26" s="8" t="str">
        <f>IF(ISNUMBER(IF(COUNT('MACHINE 10-3'!J89:J112),AVERAGEIF('MACHINE 10-3'!E89:E112,"&lt;=56.6",'MACHINE 10-3'!J89:J112),"N/A")),IF(COUNT('MACHINE 10-3'!J89:J112),AVERAGEIF('MACHINE 10-3'!E89:E112,"&lt;=56.6",'MACHINE 10-3'!J89:J112),"N/A"),"")</f>
        <v/>
      </c>
      <c r="G26" s="8"/>
      <c r="H26" s="8" t="str">
        <f>IF(ISNUMBER(IF(COUNT('MACHINE 10-3'!J128:J151),AVERAGEIF('MACHINE 10-3'!E128:E151,"&lt;=56.6",'MACHINE 10-3'!J128:J151),"N/A")),IF(COUNT('MACHINE 10-3'!J128:J151),AVERAGEIF('MACHINE 10-3'!E128:E151,"&lt;=56.6",'MACHINE 10-3'!J128:J151),"N/A"),"")</f>
        <v/>
      </c>
      <c r="I26" s="8"/>
      <c r="J26" s="8" t="str">
        <f>IF(ISNUMBER(IF(COUNT('MACHINE 10-3'!J167:J190),AVERAGEIF('MACHINE 10-3'!E167:E190,"&lt;=56.6",'MACHINE 10-3'!J167:J190),"N/A")),IF(COUNT('MACHINE 10-3'!J167:J190),AVERAGEIF('MACHINE 10-3'!E167:E190,"&lt;=56.6",'MACHINE 10-3'!J167:J190),"N/A"),"")</f>
        <v/>
      </c>
      <c r="K26" s="8"/>
      <c r="L26" s="8" t="str">
        <f>IF(ISNUMBER(IF(COUNT('MACHINE 10-3'!J206:J229),AVERAGEIF('MACHINE 10-3'!E206:E229,"&lt;=56.6",'MACHINE 10-3'!J206:J229),"N/A")),IF(COUNT('MACHINE 10-3'!J206:J229),AVERAGEIF('MACHINE 10-3'!E206:E229,"&lt;=56.6",'MACHINE 10-3'!J206:J229),"N/A"),"")</f>
        <v/>
      </c>
      <c r="M26" s="8"/>
      <c r="N26" s="8"/>
    </row>
    <row r="27" spans="1:17" x14ac:dyDescent="0.2">
      <c r="A27" s="5" t="s">
        <v>69</v>
      </c>
      <c r="B27" s="8" t="str">
        <f>IF(ISNUMBER(IF(COUNT('MACHINE 10-4'!J9:J32),AVERAGEIF('MACHINE 10-4'!E9:E32,"&lt;=56.6",'MACHINE 10-4'!J9:J32),"N/A")),IF(COUNT('MACHINE 10-4'!J9:J32),AVERAGEIF('MACHINE 10-4'!E9:E32,"&lt;=56.6",'MACHINE 10-4'!J9:J32),"N/A"),"")</f>
        <v/>
      </c>
      <c r="C27" s="8"/>
      <c r="D27" s="8" t="str">
        <f>IF(ISNUMBER(IF(COUNT('MACHINE 10-4'!J49:J72),AVERAGEIF('MACHINE 10-4'!E49:E72,"&lt;=56.6",'MACHINE 10-4'!J49:J72),"N/A")),IF(COUNT('MACHINE 10-4'!J49:J72),AVERAGEIF('MACHINE 10-4'!E49:E72,"&lt;=56.6",'MACHINE 10-4'!J49:J72),"N/A"),"")</f>
        <v/>
      </c>
      <c r="E27" s="8"/>
      <c r="F27" s="8" t="str">
        <f>IF(ISNUMBER(IF(COUNT('MACHINE 10-4'!J89:J112),AVERAGEIF('MACHINE 10-4'!E89:E112,"&lt;=56.6",'MACHINE 10-4'!J89:J112),"N/A")),IF(COUNT('MACHINE 10-4'!J89:J112),AVERAGEIF('MACHINE 10-4'!E89:E112,"&lt;=56.6",'MACHINE 10-4'!J89:J112),"N/A"),"")</f>
        <v/>
      </c>
      <c r="G27" s="8"/>
      <c r="H27" s="8" t="str">
        <f>IF(ISNUMBER(IF(COUNT('MACHINE 10-4'!J128:J151),AVERAGEIF('MACHINE 10-4'!E128:E151,"&lt;=56.6",'MACHINE 10-4'!J128:J151),"N/A")),IF(COUNT('MACHINE 10-4'!J128:J151),AVERAGEIF('MACHINE 10-4'!E128:E151,"&lt;=56.6",'MACHINE 10-4'!J128:J151),"N/A"),"")</f>
        <v/>
      </c>
      <c r="I27" s="8"/>
      <c r="J27" s="8" t="str">
        <f>IF(ISNUMBER(IF(COUNT('MACHINE 10-4'!J167:J190),AVERAGEIF('MACHINE 10-4'!E167:E190,"&lt;=56.6",'MACHINE 10-4'!J167:J190),"N/A")),IF(COUNT('MACHINE 10-4'!J167:J190),AVERAGEIF('MACHINE 10-4'!E167:E190,"&lt;=56.6",'MACHINE 10-4'!J167:J190),"N/A"),"")</f>
        <v/>
      </c>
      <c r="K27" s="8"/>
      <c r="L27" s="8" t="str">
        <f>IF(ISNUMBER(IF(COUNT('MACHINE 10-4'!J206:J229),AVERAGEIF('MACHINE 10-4'!E206:E229,"&lt;=56.6",'MACHINE 10-4'!J206:J229),"N/A")),IF(COUNT('MACHINE 10-4'!J206:J229),AVERAGEIF('MACHINE 10-4'!E206:E229,"&lt;=56.6",'MACHINE 10-4'!J206:J229),"N/A"),"")</f>
        <v/>
      </c>
      <c r="M27" s="47"/>
      <c r="N27" s="47"/>
    </row>
    <row r="28" spans="1:17" x14ac:dyDescent="0.2">
      <c r="A28" s="5" t="s">
        <v>70</v>
      </c>
      <c r="B28" s="7" t="str">
        <f>IF(ISNUMBER(IF(COUNT('MACHINE 10-5'!J9:J32),AVERAGEIF('MACHINE 10-5'!E9:E32,"&lt;=56.6",'MACHINE 10-5'!J9:J32),"N/A")),IF(COUNT('MACHINE 10-5'!J9:J32),AVERAGEIF('MACHINE 10-5'!E9:E32,"&lt;=56.6",'MACHINE 10-5'!J9:J32),"N/A"),"")</f>
        <v/>
      </c>
      <c r="C28" s="7"/>
      <c r="D28" s="7" t="str">
        <f>IF(ISNUMBER(IF(COUNT('MACHINE 10-5'!J49:J72),AVERAGEIF('MACHINE 10-5'!E49:E72,"&lt;=56.6",'MACHINE 10-5'!J49:J72),"N/A")),IF(COUNT('MACHINE 10-5'!J49:J72),AVERAGEIF('MACHINE 10-5'!E49:E72,"&lt;=56.6",'MACHINE 10-5'!J49:J72),"N/A"),"")</f>
        <v/>
      </c>
      <c r="E28" s="7"/>
      <c r="F28" s="7" t="str">
        <f>IF(ISNUMBER(IF(COUNT('MACHINE 10-5'!J89:J112),AVERAGEIF('MACHINE 10-5'!E89:E112,"&lt;=56.6",'MACHINE 10-5'!J89:J112),"N/A")),IF(COUNT('MACHINE 10-5'!J89:J112),AVERAGEIF('MACHINE 10-5'!E89:E112,"&lt;=56.6",'MACHINE 10-5'!J89:J112),"N/A"),"")</f>
        <v/>
      </c>
      <c r="G28" s="7"/>
      <c r="H28" s="7" t="str">
        <f>IF(ISNUMBER(IF(COUNT('MACHINE 10-5'!J128:J151),AVERAGEIF('MACHINE 10-5'!E128:E151,"&lt;=56.6",'MACHINE 10-5'!J128:J151),"N/A")),IF(COUNT('MACHINE 10-5'!J128:J151),AVERAGEIF('MACHINE 10-5'!E128:E151,"&lt;=56.6",'MACHINE 10-5'!J128:J151),"N/A"),"")</f>
        <v/>
      </c>
      <c r="I28" s="7"/>
      <c r="J28" s="7" t="str">
        <f>IF(ISNUMBER(IF(COUNT('MACHINE 10-5'!J167:J190),AVERAGEIF('MACHINE 10-5'!E167:E190,"&lt;=56.6",'MACHINE 10-5'!J167:J190),"N/A")),IF(COUNT('MACHINE 10-5'!J167:J190),AVERAGEIF('MACHINE 10-5'!E167:E190,"&lt;=56.6",'MACHINE 10-5'!J167:J190),"N/A"),"")</f>
        <v/>
      </c>
      <c r="K28" s="7"/>
      <c r="L28" s="7" t="str">
        <f>IF(ISNUMBER(IF(COUNT('MACHINE 10-5'!J206:J229),AVERAGEIF('MACHINE 10-5'!E206:E229,"&lt;=56.6",'MACHINE 10-5'!J206:J229),"N/A")),IF(COUNT('MACHINE 10-5'!J206:J229),AVERAGEIF('MACHINE 10-5'!E206:E229,"&lt;=56.6",'MACHINE 10-5'!J206:J229),"N/A"),"")</f>
        <v/>
      </c>
      <c r="M28" s="47"/>
      <c r="N28" s="47"/>
    </row>
    <row r="29" spans="1:17" x14ac:dyDescent="0.2">
      <c r="A29" s="5" t="s">
        <v>71</v>
      </c>
      <c r="B29" s="7" t="str">
        <f>IF(ISNUMBER(IF(COUNT('MACHINE 10-6'!J9:J32),AVERAGEIF('MACHINE 10-6'!E9:E32,"&lt;=56.6",'MACHINE 10-6'!J9:J32),"N/A")),IF(COUNT('MACHINE 10-6'!J9:J32),AVERAGEIF('MACHINE 10-6'!E9:E32,"&lt;=56.6",'MACHINE 10-6'!J9:J32),"N/A"),"")</f>
        <v/>
      </c>
      <c r="C29" s="82"/>
      <c r="D29" s="7" t="str">
        <f>IF(ISNUMBER(IF(COUNT('MACHINE 10-6'!J49:J72),AVERAGEIF('MACHINE 10-6'!E49:E72,"&lt;=56.6",'MACHINE 10-6'!J49:J72),"N/A")),IF(COUNT('MACHINE 10-6'!J49:J72),AVERAGEIF('MACHINE 10-6'!E49:E72,"&lt;=56.6",'MACHINE 10-6'!J49:J72),"N/A"),"")</f>
        <v/>
      </c>
      <c r="E29" s="7"/>
      <c r="F29" s="7" t="str">
        <f>IF(ISNUMBER(IF(COUNT('MACHINE 10-6'!J89:J112),AVERAGEIF('MACHINE 10-6'!E89:E112,"&lt;=56.6",'MACHINE 10-6'!J89:J112),"N/A")),IF(COUNT('MACHINE 10-6'!J89:J112),AVERAGEIF('MACHINE 10-6'!E89:E112,"&lt;=56.6",'MACHINE 10-6'!J89:J112),"N/A"),"")</f>
        <v/>
      </c>
      <c r="G29" s="7"/>
      <c r="H29" s="7" t="str">
        <f>IF(ISNUMBER(IF(COUNT('MACHINE 10-6'!J128:J151),AVERAGEIF('MACHINE 10-6'!E128:E151,"&lt;=56.6",'MACHINE 10-6'!J128:J151),"N/A")),IF(COUNT('MACHINE 10-6'!J128:J151),AVERAGEIF('MACHINE 10-6'!E128:E151,"&lt;=56.6",'MACHINE 10-6'!J128:J151),"N/A"),"")</f>
        <v/>
      </c>
      <c r="I29" s="7"/>
      <c r="J29" s="7" t="str">
        <f>IF(ISNUMBER(IF(COUNT('MACHINE 10-6'!J167:J190),AVERAGEIF('MACHINE 10-6'!E167:E190,"&lt;=56.6",'MACHINE 10-6'!J167:J190),"N/A")),IF(COUNT('MACHINE 10-6'!J167:J190),AVERAGEIF('MACHINE 10-6'!E167:E190,"&lt;=56.6",'MACHINE 10-6'!J167:J190),"N/A"),"")</f>
        <v/>
      </c>
      <c r="K29" s="7"/>
      <c r="L29" s="7" t="str">
        <f>IF(ISNUMBER(IF(COUNT('MACHINE 10-6'!J206:J229),AVERAGEIF('MACHINE 10-6'!E206:E229,"&lt;=56.6",'MACHINE 10-6'!J206:J229),"N/A")),IF(COUNT('MACHINE 10-6'!J206:J229),AVERAGEIF('MACHINE 10-6'!E206:E229,"&lt;=56.6",'MACHINE 10-6'!J206:J229),"N/A"),"")</f>
        <v/>
      </c>
      <c r="M29" s="47"/>
      <c r="N29" s="47"/>
      <c r="Q29" s="3"/>
    </row>
    <row r="30" spans="1:17" x14ac:dyDescent="0.2">
      <c r="A30" s="5" t="s">
        <v>72</v>
      </c>
      <c r="B30" s="7" t="str">
        <f>IF(ISNUMBER(IF(COUNT('MACHINE 10-7'!J9:J32),AVERAGEIF('MACHINE 10-7'!E9:E32,"&lt;=56.6",'MACHINE 10-7'!J9:J32),"N/A")),IF(COUNT('MACHINE 10-7'!J9:J32),AVERAGEIF('MACHINE 10-7'!E9:E32,"&lt;=56.6",'MACHINE 10-7'!J9:J32),"N/A"),"")</f>
        <v/>
      </c>
      <c r="C30" s="7"/>
      <c r="D30" s="7" t="str">
        <f>IF(ISNUMBER(IF(COUNT('MACHINE 10-7'!J49:J72),AVERAGEIF('MACHINE 10-7'!E49:E72,"&lt;=56.6",'MACHINE 10-7'!J49:J72),"N/A")),IF(COUNT('MACHINE 10-7'!J49:J72),AVERAGEIF('MACHINE 10-7'!E49:E72,"&lt;=56.6",'MACHINE 10-7'!J49:J72),"N/A"),"")</f>
        <v/>
      </c>
      <c r="E30" s="7"/>
      <c r="F30" s="7" t="str">
        <f>IF(ISNUMBER(IF(COUNT('MACHINE 10-7'!J89:J112),AVERAGEIF('MACHINE 10-7'!E89:E112,"&lt;=56.6",'MACHINE 10-7'!J89:J112),"N/A")),IF(COUNT('MACHINE 10-7'!J89:J112),AVERAGEIF('MACHINE 10-7'!E89:E112,"&lt;=56.6",'MACHINE 10-7'!J89:J112),"N/A"),"")</f>
        <v/>
      </c>
      <c r="G30" s="7"/>
      <c r="H30" s="7" t="str">
        <f>IF(ISNUMBER(IF(COUNT('MACHINE 10-7'!J128:J151),AVERAGEIF('MACHINE 10-7'!E128:E151,"&lt;=56.6",'MACHINE 10-7'!J128:J151),"N/A")),IF(COUNT('MACHINE 10-7'!J128:J151),AVERAGEIF('MACHINE 10-7'!E128:E151,"&lt;=56.6",'MACHINE 10-7'!J128:J151),"N/A"),"")</f>
        <v/>
      </c>
      <c r="I30" s="7"/>
      <c r="J30" s="7" t="str">
        <f>IF(ISNUMBER(IF(COUNT('MACHINE 10-7'!J167:J190),AVERAGEIF('MACHINE 10-7'!E167:E190,"&lt;=56.6",'MACHINE 10-7'!J167:J190),"N/A")),IF(COUNT('MACHINE 10-7'!J167:J190),AVERAGEIF('MACHINE 10-7'!E167:E190,"&lt;=56.6",'MACHINE 10-7'!J167:J190),"N/A"),"")</f>
        <v/>
      </c>
      <c r="K30" s="7"/>
      <c r="L30" s="7" t="str">
        <f>IF(ISNUMBER(IF(COUNT('MACHINE 10-7'!J206:J229),AVERAGEIF('MACHINE 10-7'!E206:E229,"&lt;=56.6",'MACHINE 10-7'!J206:J229),"N/A")),IF(COUNT('MACHINE 10-7'!J206:J229),AVERAGEIF('MACHINE 10-7'!E206:E229,"&lt;=56.6",'MACHINE 10-7'!J206:J229),"N/A"),"")</f>
        <v/>
      </c>
      <c r="M30" s="47"/>
      <c r="N30" s="47"/>
    </row>
    <row r="31" spans="1:17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7" x14ac:dyDescent="0.2">
      <c r="A32" s="4"/>
      <c r="B32" s="158" t="s">
        <v>74</v>
      </c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</row>
    <row r="33" spans="1:14" x14ac:dyDescent="0.2">
      <c r="A33" s="4"/>
      <c r="B33" s="5" t="s">
        <v>61</v>
      </c>
      <c r="C33" s="5"/>
      <c r="D33" s="5" t="s">
        <v>62</v>
      </c>
      <c r="E33" s="5"/>
      <c r="F33" s="5" t="s">
        <v>63</v>
      </c>
      <c r="G33" s="5"/>
      <c r="H33" s="5" t="s">
        <v>64</v>
      </c>
      <c r="I33" s="5"/>
      <c r="J33" s="5" t="s">
        <v>65</v>
      </c>
      <c r="K33" s="5"/>
      <c r="L33" s="5" t="s">
        <v>66</v>
      </c>
      <c r="M33" s="5"/>
      <c r="N33" s="5" t="s">
        <v>67</v>
      </c>
    </row>
    <row r="34" spans="1:14" x14ac:dyDescent="0.2">
      <c r="A34" s="6" t="s">
        <v>60</v>
      </c>
      <c r="B34" s="7" t="str">
        <f>IF(ISNUMBER(IF(COUNT('MACHINE 6-1'!J9:J32),AVERAGEIFS('MACHINE 6-1'!J9:J32,'MACHINE 6-1'!E9:E32,"&lt;=623.7",'MACHINE 6-1'!D9:D32,"=",'MACHINE 6-1'!E9:E32,"&gt;=60.2"),"N/A")),IF(COUNT('MACHINE 6-1'!J9:J32),AVERAGEIFS('MACHINE 6-1'!J9:J32,'MACHINE 6-1'!E9:E32,"&lt;=623.7",'MACHINE 6-1'!D9:D32,"=",'MACHINE 6-1'!E9:E32,"&gt;=60.2"),"N/A"),"")</f>
        <v/>
      </c>
      <c r="C34" s="7"/>
      <c r="D34" s="7" t="str">
        <f>IF(ISNUMBER(IF(COUNT('MACHINE 6-1'!J49:J72),AVERAGEIFS('MACHINE 6-1'!J49:J72,'MACHINE 6-1'!E49:E72,"&lt;=623.7",'MACHINE 6-1'!D49:D72,"=",'MACHINE 6-1'!E49:E72,"&gt;=60.2"),"N/A")),IF(COUNT('MACHINE 6-1'!J49:J72),AVERAGEIFS('MACHINE 6-1'!J49:J72,'MACHINE 6-1'!E49:E72,"&lt;=623.7",'MACHINE 6-1'!D49:D72,"=",'MACHINE 6-1'!E49:E72,"&gt;=60.2"),"N/A"),"")</f>
        <v/>
      </c>
      <c r="E34" s="7"/>
      <c r="F34" s="7" t="str">
        <f>IF(ISNUMBER(IF(COUNT('MACHINE 6-1'!J89:J112),AVERAGEIFS('MACHINE 6-1'!J89:J112,'MACHINE 6-1'!E89:E112,"&lt;=623.7",'MACHINE 6-1'!D89:D112,"=",'MACHINE 6-1'!E89:E112,"&gt;=60.2"),"N/A")),IF(COUNT('MACHINE 6-1'!J89:J112),AVERAGEIFS('MACHINE 6-1'!J89:J112,'MACHINE 6-1'!E89:E112,"&lt;=623.7",'MACHINE 6-1'!D89:D112,"=",'MACHINE 6-1'!E89:E112,"&gt;=60.2"),"N/A"),"")</f>
        <v/>
      </c>
      <c r="G34" s="7"/>
      <c r="H34" s="7" t="str">
        <f>IF(ISNUMBER(IF(COUNT('MACHINE 6-1'!J129:J152),AVERAGEIFS('MACHINE 6-1'!J129:J152,'MACHINE 6-1'!E129:E152,"&lt;=623.7",'MACHINE 6-1'!D129:D152,"=",'MACHINE 6-1'!E129:E152,"&gt;=60.2"),"N/A")),IF(COUNT('MACHINE 6-1'!J129:J152),AVERAGEIFS('MACHINE 6-1'!J129:J152,'MACHINE 6-1'!E129:E152,"&lt;=623.7",'MACHINE 6-1'!D129:D152,"=",'MACHINE 6-1'!E129:E152,"&gt;=60.2"),"N/A"),"")</f>
        <v/>
      </c>
      <c r="I34" s="7"/>
      <c r="J34" s="7" t="str">
        <f>IF(ISNUMBER(IF(COUNT('MACHINE 6-1'!J169:J192),AVERAGEIFS('MACHINE 6-1'!J169:J192,'MACHINE 6-1'!E169:E192,"&lt;=623.7",'MACHINE 6-1'!D169:D192,"=",'MACHINE 6-1'!E169:E192,"&gt;=60.2"),"N/A")),IF(COUNT('MACHINE 6-1'!J169:J192),AVERAGEIFS('MACHINE 6-1'!J169:J192,'MACHINE 6-1'!E169:E192,"&lt;=623.7",'MACHINE 6-1'!D169:D192,"=",'MACHINE 6-1'!E169:E192,"&gt;=60.2"),"N/A"),"")</f>
        <v/>
      </c>
      <c r="K34" s="7"/>
      <c r="L34" s="7" t="str">
        <f>IF(ISNUMBER(IF(COUNT('MACHINE 6-1'!J209:J232),AVERAGEIFS('MACHINE 6-1'!J209:J232,'MACHINE 6-1'!E209:E232,"&lt;=623.7",'MACHINE 6-1'!D209:D232,"=",'MACHINE 6-1'!E209:E232,"&gt;=60.2"),"N/A")),IF(COUNT('MACHINE 6-1'!J209:J232),AVERAGEIFS('MACHINE 6-1'!J209:J232,'MACHINE 6-1'!E209:E232,"&lt;=623.7",'MACHINE 6-1'!D209:D232,"=",'MACHINE 6-1'!E209:E232,"&gt;=60.2"),"N/A"),"")</f>
        <v/>
      </c>
      <c r="M34" s="7"/>
      <c r="N34" s="7" t="str">
        <f>IF(ISNUMBER(IF(COUNT('MACHINE 6-1'!J249:J272),AVERAGEIFS('MACHINE 6-1'!J249:J272,'MACHINE 6-1'!E249:E272,"&lt;=623.7",'MACHINE 6-1'!D249:D272,"=",'MACHINE 6-1'!E249:E272,"&gt;=60.2"),"N/A")),IF(COUNT('MACHINE 6-1'!J249:J272),AVERAGEIFS('MACHINE 6-1'!J249:J272,'MACHINE 6-1'!E249:E272,"&lt;=623.7",'MACHINE 6-1'!D249:D272,"=",'MACHINE 6-1'!E249:E272,"&gt;=60.2"),"N/A"),"")</f>
        <v/>
      </c>
    </row>
    <row r="35" spans="1:14" x14ac:dyDescent="0.2">
      <c r="A35" s="5" t="s">
        <v>76</v>
      </c>
      <c r="B35" s="7" t="str">
        <f>IF(ISNUMBER(IF(COUNT('MACHINE 6-2 (10-2)'!J9:J32),AVERAGEIFS('MACHINE 6-2 (10-2)'!J9:J32,'MACHINE 6-2 (10-2)'!E9:E32,"&lt;=623.7",'MACHINE 6-2 (10-2)'!D9:D32,"=",'MACHINE 6-2 (10-2)'!E9:E32,"&gt;=60.2"),"N/A")),IF(COUNT('MACHINE 6-2 (10-2)'!J9:J32),AVERAGEIFS('MACHINE 6-2 (10-2)'!J9:J32,'MACHINE 6-2 (10-2)'!E9:E32,"&lt;=623.7",'MACHINE 6-2 (10-2)'!D9:D32,"=",'MACHINE 6-2 (10-2)'!E9:E32,"&gt;=60.2"),"N/A"),"")</f>
        <v/>
      </c>
      <c r="C35" s="7"/>
      <c r="D35" s="7" t="str">
        <f>IF(ISNUMBER(IF(COUNT('MACHINE 6-2 (10-2)'!J48:J71),AVERAGEIFS('MACHINE 6-2 (10-2)'!J48:J71,'MACHINE 6-2 (10-2)'!E48:E71,"&lt;=623.7",'MACHINE 6-2 (10-2)'!D48:D71,"=",'MACHINE 6-2 (10-2)'!E48:E71,"&gt;=60.2"),"N/A")),IF(COUNT('MACHINE 6-2 (10-2)'!J48:J71),AVERAGEIFS('MACHINE 6-2 (10-2)'!J48:J71,'MACHINE 6-2 (10-2)'!E48:E71,"&lt;=623.7",'MACHINE 6-2 (10-2)'!D48:D71,"=",'MACHINE 6-2 (10-2)'!E48:E71,"&gt;=60.2"),"N/A"),"")</f>
        <v/>
      </c>
      <c r="E35" s="7"/>
      <c r="F35" s="7" t="str">
        <f>IF(ISNUMBER(IF(COUNT('MACHINE 6-2 (10-2)'!J87:J110),AVERAGEIFS('MACHINE 6-2 (10-2)'!J87:J110,'MACHINE 6-2 (10-2)'!E87:E110,"&lt;=623.7",'MACHINE 6-2 (10-2)'!D87:D110,"=",'MACHINE 6-2 (10-2)'!E87:E110,"&gt;=60.2"),"N/A")),IF(COUNT('MACHINE 6-2 (10-2)'!J87:J110),AVERAGEIFS('MACHINE 6-2 (10-2)'!J87:J110,'MACHINE 6-2 (10-2)'!E87:E110,"&lt;=623.7",'MACHINE 6-2 (10-2)'!D87:D110,"=",'MACHINE 6-2 (10-2)'!E87:E110,"&gt;=60.2"),"N/A"),"")</f>
        <v/>
      </c>
      <c r="G35" s="7"/>
      <c r="H35" s="7" t="str">
        <f>IF(ISNUMBER(IF(COUNT('MACHINE 6-2 (10-2)'!J126:J149),AVERAGEIFS('MACHINE 6-2 (10-2)'!J126:J149,'MACHINE 6-2 (10-2)'!E126:E149,"&lt;=623.7",'MACHINE 6-2 (10-2)'!D126:D149,"=",'MACHINE 6-2 (10-2)'!E126:E149,"&gt;=60.2"),"N/A")),IF(COUNT('MACHINE 6-2 (10-2)'!J126:J149),AVERAGEIFS('MACHINE 6-2 (10-2)'!J126:J149,'MACHINE 6-2 (10-2)'!E126:E149,"&lt;=623.7",'MACHINE 6-2 (10-2)'!D126:D149,"=",'MACHINE 6-2 (10-2)'!E126:E149,"&gt;=60.2"),"N/A"),"")</f>
        <v/>
      </c>
      <c r="I35" s="7"/>
      <c r="J35" s="7" t="str">
        <f>IF(ISNUMBER(IF(COUNT('MACHINE 6-2 (10-2)'!J165:J188),AVERAGEIFS('MACHINE 6-2 (10-2)'!J165:J188,'MACHINE 6-2 (10-2)'!E165:E188,"&lt;=623.7",'MACHINE 6-2 (10-2)'!D165:D188,"=",'MACHINE 6-2 (10-2)'!E165:E188,"&gt;=60.2"),"N/A")),IF(COUNT('MACHINE 6-2 (10-2)'!J165:J188),AVERAGEIFS('MACHINE 6-2 (10-2)'!J165:J188,'MACHINE 6-2 (10-2)'!E165:E188,"&lt;=623.7",'MACHINE 6-2 (10-2)'!D165:D188,"=",'MACHINE 6-2 (10-2)'!E165:E188,"&gt;=60.2"),"N/A"),"")</f>
        <v/>
      </c>
      <c r="K35" s="7"/>
      <c r="L35" s="7" t="str">
        <f>IF(ISNUMBER(IF(COUNT('MACHINE 6-2 (10-2)'!J204:J227),AVERAGEIFS('MACHINE 6-2 (10-2)'!J204:J227,'MACHINE 6-2 (10-2)'!E204:E227,"&lt;=623.7",'MACHINE 6-2 (10-2)'!D204:D227,"=",'MACHINE 6-2 (10-2)'!E204:E227,"&gt;=60.2"),"N/A")),IF(COUNT('MACHINE 6-2 (10-2)'!J204:J227),AVERAGEIFS('MACHINE 6-2 (10-2)'!J204:J227,'MACHINE 6-2 (10-2)'!E204:E227,"&lt;=623.7",'MACHINE 6-2 (10-2)'!D204:D227,"=",'MACHINE 6-2 (10-2)'!E204:E227,"&gt;=60.2"),"N/A"),"")</f>
        <v/>
      </c>
      <c r="M35" s="7"/>
      <c r="N35" s="7" t="str">
        <f>IF(ISNUMBER(IF(COUNT('MACHINE 6-2 (10-2)'!J243:J266),AVERAGEIFS('MACHINE 6-2 (10-2)'!J243:J266,'MACHINE 6-2 (10-2)'!E243:E266,"&lt;=623.7",'MACHINE 6-2 (10-2)'!D243:D266,"=",'MACHINE 6-2 (10-2)'!E243:E266,"&gt;=60.2"),"N/A")),IF(COUNT('MACHINE 6-2 (10-2)'!J243:J266),AVERAGEIFS('MACHINE 6-2 (10-2)'!J243:J266,'MACHINE 6-2 (10-2)'!E243:E266,"&lt;=623.7",'MACHINE 6-2 (10-2)'!D243:D266,"=",'MACHINE 6-2 (10-2)'!E243:E266,"&gt;=60.2"),"N/A"),"")</f>
        <v/>
      </c>
    </row>
    <row r="36" spans="1:14" x14ac:dyDescent="0.2">
      <c r="A36" s="5" t="s">
        <v>68</v>
      </c>
      <c r="B36" s="7" t="str">
        <f>IF(ISNUMBER(IF(COUNT('MACHINE 10-3'!J9:J32),AVERAGEIFS('MACHINE 10-3'!J9:J32,'MACHINE 10-3'!E9:E32,"&lt;=623.7",'MACHINE 10-3'!E9:E32,"&gt;=60.2",'MACHINE 10-3'!D9:D32,"="),"N/A")),IF(COUNT('MACHINE 10-3'!J9:J32),AVERAGEIFS('MACHINE 10-3'!J9:J32,'MACHINE 10-3'!E9:E32,"&lt;=623.7",'MACHINE 10-3'!E9:E32,"&gt;=60.2",'MACHINE 10-3'!D9:D32,"="),"N/A"),"")</f>
        <v/>
      </c>
      <c r="C36" s="7"/>
      <c r="D36" s="7" t="str">
        <f>IF(ISNUMBER(IF(COUNT('MACHINE 10-3'!J49:J72),AVERAGEIFS('MACHINE 10-3'!J49:J72,'MACHINE 10-3'!E49:E72,"&lt;=623.7",'MACHINE 10-3'!E49:E72,"&gt;=60.2",'MACHINE 10-3'!D49:D72,"="),"N/A")),IF(COUNT('MACHINE 10-3'!J49:J72),AVERAGEIFS('MACHINE 10-3'!J49:J72,'MACHINE 10-3'!E49:E72,"&lt;=623.7",'MACHINE 10-3'!E49:E72,"&gt;=60.2",'MACHINE 10-3'!D49:D72,"="),"N/A"),"")</f>
        <v/>
      </c>
      <c r="E36" s="7"/>
      <c r="F36" s="7" t="str">
        <f>IF(ISNUMBER(IF(COUNT('MACHINE 10-3'!J89:J112),AVERAGEIFS('MACHINE 10-3'!J89:J112,'MACHINE 10-3'!E89:E112,"&lt;=623.7",'MACHINE 10-3'!E89:E112,"&gt;=60.2",'MACHINE 10-3'!D89:D112,"="),"N/A")),IF(COUNT('MACHINE 10-3'!J89:J112),AVERAGEIFS('MACHINE 10-3'!J89:J112,'MACHINE 10-3'!E89:E112,"&lt;=623.7",'MACHINE 10-3'!E89:E112,"&gt;=60.2",'MACHINE 10-3'!D89:D112,"="),"N/A"),"")</f>
        <v/>
      </c>
      <c r="G36" s="7"/>
      <c r="H36" s="7" t="str">
        <f>IF(ISNUMBER(IF(COUNT('MACHINE 10-3'!J128:J151),AVERAGEIFS('MACHINE 10-3'!J128:J151,'MACHINE 10-3'!E128:E151,"&lt;=623.7",'MACHINE 10-3'!E128:E151,"&gt;=60.2",'MACHINE 10-3'!D128:D151,"="),"N/A")),IF(COUNT('MACHINE 10-3'!J128:J151),AVERAGEIFS('MACHINE 10-3'!J128:J151,'MACHINE 10-3'!E128:E151,"&lt;=623.7",'MACHINE 10-3'!E128:E151,"&gt;=60.2",'MACHINE 10-3'!D128:D151,"="),"N/A"),"")</f>
        <v/>
      </c>
      <c r="I36" s="7"/>
      <c r="J36" s="7" t="str">
        <f>IF(ISNUMBER(IF(COUNT('MACHINE 10-3'!J167:J190),AVERAGEIFS('MACHINE 10-3'!J167:J190,'MACHINE 10-3'!E167:E190,"&lt;=623.7",'MACHINE 10-3'!E167:E190,"&gt;=60.2",'MACHINE 10-3'!D167:D190,"="),"N/A")),IF(COUNT('MACHINE 10-3'!J167:J190),AVERAGEIFS('MACHINE 10-3'!J167:J190,'MACHINE 10-3'!E167:E190,"&lt;=623.7",'MACHINE 10-3'!E167:E190,"&gt;=60.2",'MACHINE 10-3'!D167:D190,"="),"N/A"),"")</f>
        <v/>
      </c>
      <c r="K36" s="7"/>
      <c r="L36" s="7" t="str">
        <f>IF(ISNUMBER(IF(COUNT('MACHINE 10-3'!J206:J229),AVERAGEIFS('MACHINE 10-3'!J206:J229,'MACHINE 10-3'!E206:E229,"&lt;=623.7",'MACHINE 10-3'!E206:E229,"&gt;=60.2",'MACHINE 10-3'!D206:D229,"="),"N/A")),IF(COUNT('MACHINE 10-3'!J206:J229),AVERAGEIFS('MACHINE 10-3'!J206:J229,'MACHINE 10-3'!E206:E229,"&lt;=623.7",'MACHINE 10-3'!E206:E229,"&gt;=60.2",'MACHINE 10-3'!D206:D229,"="),"N/A"),"")</f>
        <v/>
      </c>
      <c r="M36" s="7"/>
      <c r="N36" s="7"/>
    </row>
    <row r="37" spans="1:14" x14ac:dyDescent="0.2">
      <c r="A37" s="5" t="s">
        <v>69</v>
      </c>
      <c r="B37" s="7" t="str">
        <f>IF(ISNUMBER(IF(COUNT('MACHINE 10-4'!J9:J32),AVERAGEIFS('MACHINE 10-4'!J9:J32,'MACHINE 10-4'!E9:E32,"&lt;=623.7",'MACHINE 10-4'!E9:E32,"&gt;=60.2",'MACHINE 10-4'!D9:D32,"="),"N/A")),IF(COUNT('MACHINE 10-4'!J9:J32),AVERAGEIFS('MACHINE 10-4'!J9:J32,'MACHINE 10-4'!E9:E32,"&lt;=623.7",'MACHINE 10-4'!E9:E32,"&gt;=60.2",'MACHINE 10-4'!D9:D32,"="),"N/A"),"")</f>
        <v/>
      </c>
      <c r="C37" s="7"/>
      <c r="D37" s="7" t="str">
        <f>IF(ISNUMBER(IF(COUNT('MACHINE 10-4'!J49:J72),AVERAGEIFS('MACHINE 10-4'!J49:J72,'MACHINE 10-4'!E49:E72,"&lt;=623.7",'MACHINE 10-4'!E49:E72,"&gt;=60.2",'MACHINE 10-4'!D49:D72,"="),"N/A")),IF(COUNT('MACHINE 10-4'!J49:J72),AVERAGEIFS('MACHINE 10-4'!J49:J72,'MACHINE 10-4'!E49:E72,"&lt;=623.7",'MACHINE 10-4'!E49:E72,"&gt;=60.2",'MACHINE 10-4'!D49:D72,"="),"N/A"),"")</f>
        <v/>
      </c>
      <c r="E37" s="7"/>
      <c r="F37" s="7" t="str">
        <f>IF(ISNUMBER(IF(COUNT('MACHINE 10-4'!J89:J112),AVERAGEIFS('MACHINE 10-4'!J89:J112,'MACHINE 10-4'!E89:E112,"&lt;=623.7",'MACHINE 10-4'!E89:E112,"&gt;=60.2",'MACHINE 10-4'!D89:D112,"="),"N/A")),IF(COUNT('MACHINE 10-4'!J89:J112),AVERAGEIFS('MACHINE 10-4'!J89:J112,'MACHINE 10-4'!E89:E112,"&lt;=623.7",'MACHINE 10-4'!E89:E112,"&gt;=60.2",'MACHINE 10-4'!D89:D112,"="),"N/A"),"")</f>
        <v/>
      </c>
      <c r="G37" s="7"/>
      <c r="H37" s="7" t="str">
        <f>IF(ISNUMBER(IF(COUNT('MACHINE 10-4'!J128:J151),AVERAGEIFS('MACHINE 10-4'!J128:J151,'MACHINE 10-4'!E128:E151,"&lt;=623.7",'MACHINE 10-4'!E128:E151,"&gt;=60.2",'MACHINE 10-4'!D128:D151,"="),"N/A")),IF(COUNT('MACHINE 10-4'!J128:J151),AVERAGEIFS('MACHINE 10-4'!J128:J151,'MACHINE 10-4'!E128:E151,"&lt;=623.7",'MACHINE 10-4'!E128:E151,"&gt;=60.2",'MACHINE 10-4'!D128:D151,"="),"N/A"),"")</f>
        <v/>
      </c>
      <c r="I37" s="7"/>
      <c r="J37" s="7" t="str">
        <f>IF(ISNUMBER(IF(COUNT('MACHINE 10-4'!J167:J190),AVERAGEIFS('MACHINE 10-4'!J167:J190,'MACHINE 10-4'!E167:E190,"&lt;=623.7",'MACHINE 10-4'!E167:E190,"&gt;=60.2",'MACHINE 10-4'!D167:D190,"="),"N/A")),IF(COUNT('MACHINE 10-4'!J167:J190),AVERAGEIFS('MACHINE 10-4'!J167:J190,'MACHINE 10-4'!E167:E190,"&lt;=623.7",'MACHINE 10-4'!E167:E190,"&gt;=60.2",'MACHINE 10-4'!D167:D190,"="),"N/A"),"")</f>
        <v/>
      </c>
      <c r="K37" s="7"/>
      <c r="L37" s="7" t="str">
        <f>IF(ISNUMBER(IF(COUNT('MACHINE 10-4'!J206:J229),AVERAGEIFS('MACHINE 10-4'!J206:J229,'MACHINE 10-4'!E206:E229,"&lt;=623.7",'MACHINE 10-4'!E206:E229,"&gt;=60.2",'MACHINE 10-4'!D206:D229,"="),"N/A")),IF(COUNT('MACHINE 10-4'!J206:J229),AVERAGEIFS('MACHINE 10-4'!J206:J229,'MACHINE 10-4'!E206:E229,"&lt;=623.7",'MACHINE 10-4'!E206:E229,"&gt;=60.2",'MACHINE 10-4'!D206:D229,"="),"N/A"),"")</f>
        <v/>
      </c>
      <c r="M37" s="7"/>
      <c r="N37" s="7"/>
    </row>
    <row r="38" spans="1:14" x14ac:dyDescent="0.2">
      <c r="A38" s="5" t="s">
        <v>70</v>
      </c>
      <c r="B38" s="7" t="str">
        <f>IF(ISNUMBER(IF(COUNT('MACHINE 10-5'!J9:J32),AVERAGEIFS('MACHINE 10-5'!J9:J32,'MACHINE 10-5'!E9:E32,"&lt;=623.7",'MACHINE 10-5'!E9:E32,"&gt;=60.2",'MACHINE 10-5'!D9:D32,"="),"N/A")),IF(COUNT('MACHINE 10-5'!J9:J32),AVERAGEIFS('MACHINE 10-5'!J9:J32,'MACHINE 10-5'!E9:E32,"&lt;=623.7",'MACHINE 10-5'!E9:E32,"&gt;=60.2",'MACHINE 10-5'!D9:D32,"="),"N/A"),"")</f>
        <v/>
      </c>
      <c r="C38" s="7"/>
      <c r="D38" s="7" t="str">
        <f>IF(ISNUMBER(IF(COUNT('MACHINE 10-5'!J49:J72),AVERAGEIFS('MACHINE 10-5'!J49:J72,'MACHINE 10-5'!E49:E72,"&lt;=623.7",'MACHINE 10-5'!E49:E72,"&gt;=60.2",'MACHINE 10-5'!D49:D72,"="),"N/A")),IF(COUNT('MACHINE 10-5'!J49:J72),AVERAGEIFS('MACHINE 10-5'!J49:J72,'MACHINE 10-5'!E49:E72,"&lt;=623.7",'MACHINE 10-5'!E49:E72,"&gt;=60.2",'MACHINE 10-5'!D49:D72,"="),"N/A"),"")</f>
        <v/>
      </c>
      <c r="E38" s="7"/>
      <c r="F38" s="7" t="str">
        <f>IF(ISNUMBER(IF(COUNT('MACHINE 10-5'!J89:J112),AVERAGEIFS('MACHINE 10-5'!J89:J112,'MACHINE 10-5'!E89:E112,"&lt;=623.7",'MACHINE 10-5'!E89:E112,"&gt;=60.2",'MACHINE 10-5'!D89:D112,"="),"N/A")),IF(COUNT('MACHINE 10-5'!J89:J112),AVERAGEIFS('MACHINE 10-5'!J89:J112,'MACHINE 10-5'!E89:E112,"&lt;=623.7",'MACHINE 10-5'!E89:E112,"&gt;=60.2",'MACHINE 10-5'!D89:D112,"="),"N/A"),"")</f>
        <v/>
      </c>
      <c r="G38" s="7"/>
      <c r="H38" s="7" t="str">
        <f>IF(ISNUMBER(IF(COUNT('MACHINE 10-5'!J128:J151),AVERAGEIFS('MACHINE 10-5'!J128:J151,'MACHINE 10-5'!E128:E151,"&lt;=623.7",'MACHINE 10-5'!E128:E151,"&gt;=60.2",'MACHINE 10-5'!D128:D151,"="),"N/A")),IF(COUNT('MACHINE 10-5'!J128:J151),AVERAGEIFS('MACHINE 10-5'!J128:J151,'MACHINE 10-5'!E128:E151,"&lt;=623.7",'MACHINE 10-5'!E128:E151,"&gt;=60.2",'MACHINE 10-5'!D128:D151,"="),"N/A"),"")</f>
        <v/>
      </c>
      <c r="I38" s="7"/>
      <c r="J38" s="7" t="str">
        <f>IF(ISNUMBER(IF(COUNT('MACHINE 10-5'!J167:J190),AVERAGEIFS('MACHINE 10-5'!J167:J190,'MACHINE 10-5'!E167:E190,"&lt;=623.7",'MACHINE 10-5'!E167:E190,"&gt;=60.2",'MACHINE 10-5'!D167:D190,"="),"N/A")),IF(COUNT('MACHINE 10-5'!J167:J190),AVERAGEIFS('MACHINE 10-5'!J167:J190,'MACHINE 10-5'!E167:E190,"&lt;=623.7",'MACHINE 10-5'!E167:E190,"&gt;=60.2",'MACHINE 10-5'!D167:D190,"="),"N/A"),"")</f>
        <v/>
      </c>
      <c r="K38" s="7"/>
      <c r="L38" s="7" t="str">
        <f>IF(ISNUMBER(IF(COUNT('MACHINE 10-5'!J206:J229),AVERAGEIFS('MACHINE 10-5'!J206:J229,'MACHINE 10-5'!E206:E229,"&lt;=623.7",'MACHINE 10-5'!E206:E229,"&gt;=60.2",'MACHINE 10-5'!D206:D229,"="),"N/A")),IF(COUNT('MACHINE 10-5'!J206:J229),AVERAGEIFS('MACHINE 10-5'!J206:J229,'MACHINE 10-5'!E206:E229,"&lt;=623.7",'MACHINE 10-5'!E206:E229,"&gt;=60.2",'MACHINE 10-5'!D206:D229,"="),"N/A"),"")</f>
        <v/>
      </c>
      <c r="M38" s="7"/>
      <c r="N38" s="7"/>
    </row>
    <row r="39" spans="1:14" x14ac:dyDescent="0.2">
      <c r="A39" s="5" t="s">
        <v>71</v>
      </c>
      <c r="B39" s="7" t="str">
        <f>IF(ISNUMBER(IF(COUNT('MACHINE 10-6'!J9:J32),AVERAGEIFS('MACHINE 10-6'!J9:J32,'MACHINE 10-6'!E9:E32,"&lt;=623.7",'MACHINE 10-6'!E9:E32,"&gt;=60.2",'MACHINE 10-6'!D9:D32,"="),"N/A")),IF(COUNT('MACHINE 10-6'!J9:J32),AVERAGEIFS('MACHINE 10-6'!J9:J32,'MACHINE 10-6'!E9:E32,"&lt;=623.7",'MACHINE 10-6'!E9:E32,"&gt;=60.2",'MACHINE 10-6'!D9:D32,"="),"N/A"),"")</f>
        <v/>
      </c>
      <c r="C39" s="7"/>
      <c r="D39" s="7" t="str">
        <f>IF(ISNUMBER(IF(COUNT('MACHINE 10-6'!J49:J72),AVERAGEIFS('MACHINE 10-6'!J49:J72,'MACHINE 10-6'!E49:E72,"&lt;=623.7",'MACHINE 10-6'!E49:E72,"&gt;=60.2",'MACHINE 10-6'!D49:D72,"="),"N/A")),IF(COUNT('MACHINE 10-6'!J49:J72),AVERAGEIFS('MACHINE 10-6'!J49:J72,'MACHINE 10-6'!E49:E72,"&lt;=623.7",'MACHINE 10-6'!E49:E72,"&gt;=60.2",'MACHINE 10-6'!D49:D72,"="),"N/A"),"")</f>
        <v/>
      </c>
      <c r="E39" s="7"/>
      <c r="F39" s="7" t="str">
        <f>IF(ISNUMBER(IF(COUNT('MACHINE 10-6'!J89:J112),AVERAGEIFS('MACHINE 10-6'!J89:J112,'MACHINE 10-6'!E89:E112,"&lt;=623.7",'MACHINE 10-6'!E89:E112,"&gt;=60.2",'MACHINE 10-6'!D89:D112,"="),"N/A")),IF(COUNT('MACHINE 10-6'!J89:J112),AVERAGEIFS('MACHINE 10-6'!J89:J112,'MACHINE 10-6'!E89:E112,"&lt;=623.7",'MACHINE 10-6'!E89:E112,"&gt;=60.2",'MACHINE 10-6'!D89:D112,"="),"N/A"),"")</f>
        <v/>
      </c>
      <c r="G39" s="7"/>
      <c r="H39" s="7" t="str">
        <f>IF(ISNUMBER(IF(COUNT('MACHINE 10-6'!J128:J151),AVERAGEIFS('MACHINE 10-6'!J128:J151,'MACHINE 10-6'!E128:E151,"&lt;=623.7",'MACHINE 10-6'!E128:E151,"&gt;=60.2",'MACHINE 10-6'!D128:D151,"="),"N/A")),IF(COUNT('MACHINE 10-6'!J128:J151),AVERAGEIFS('MACHINE 10-6'!J128:J151,'MACHINE 10-6'!E128:E151,"&lt;=623.7",'MACHINE 10-6'!E128:E151,"&gt;=60.2",'MACHINE 10-6'!D128:D151,"="),"N/A"),"")</f>
        <v/>
      </c>
      <c r="I39" s="7"/>
      <c r="J39" s="7" t="str">
        <f>IF(ISNUMBER(IF(COUNT('MACHINE 10-6'!J167:J190),AVERAGEIFS('MACHINE 10-6'!J167:J190,'MACHINE 10-6'!E167:E190,"&lt;=623.7",'MACHINE 10-6'!E167:E190,"&gt;=60.2",'MACHINE 10-6'!D167:D190,"="),"N/A")),IF(COUNT('MACHINE 10-6'!J167:J190),AVERAGEIFS('MACHINE 10-6'!J167:J190,'MACHINE 10-6'!E167:E190,"&lt;=623.7",'MACHINE 10-6'!E167:E190,"&gt;=60.2",'MACHINE 10-6'!D167:D190,"="),"N/A"),"")</f>
        <v/>
      </c>
      <c r="K39" s="7"/>
      <c r="L39" s="7" t="str">
        <f>IF(ISNUMBER(IF(COUNT('MACHINE 10-6'!J206:J229),AVERAGEIFS('MACHINE 10-6'!J206:J229,'MACHINE 10-6'!E206:E229,"&lt;=623.7",'MACHINE 10-6'!E206:E229,"&gt;=60.2",'MACHINE 10-6'!D206:D229,"="),"N/A")),IF(COUNT('MACHINE 10-6'!J206:J229),AVERAGEIFS('MACHINE 10-6'!J206:J229,'MACHINE 10-6'!E206:E229,"&lt;=623.7",'MACHINE 10-6'!E206:E229,"&gt;=60.2",'MACHINE 10-6'!D206:D229,"="),"N/A"),"")</f>
        <v/>
      </c>
      <c r="M39" s="7"/>
      <c r="N39" s="7"/>
    </row>
    <row r="40" spans="1:14" x14ac:dyDescent="0.2">
      <c r="A40" s="5" t="s">
        <v>72</v>
      </c>
      <c r="B40" s="7" t="str">
        <f>IF(ISNUMBER(IF(COUNT('MACHINE 10-7'!J9:J32),AVERAGEIFS('MACHINE 10-7'!J9:J32,'MACHINE 10-7'!E9:E32,"&lt;=623.7",'MACHINE 10-7'!E9:E32,"&gt;=60.2",'MACHINE 10-7'!D9:D32,"="),"N/A")),IF(COUNT('MACHINE 10-7'!J9:J32),AVERAGEIFS('MACHINE 10-7'!J9:J32,'MACHINE 10-7'!E9:E32,"&lt;=623.7",'MACHINE 10-7'!E9:E32,"&gt;=60.2",'MACHINE 10-7'!D9:D32,"="),"N/A"),"")</f>
        <v/>
      </c>
      <c r="C40" s="7"/>
      <c r="D40" s="7" t="str">
        <f>IF(ISNUMBER(IF(COUNT('MACHINE 10-7'!J49:J72),AVERAGEIFS('MACHINE 10-7'!J49:J72,'MACHINE 10-7'!E49:E72,"&lt;=623.7",'MACHINE 10-7'!E49:E72,"&gt;=60.2",'MACHINE 10-7'!D49:D72,"="),"N/A")),IF(COUNT('MACHINE 10-7'!J49:J72),AVERAGEIFS('MACHINE 10-7'!J49:J72,'MACHINE 10-7'!E49:E72,"&lt;=623.7",'MACHINE 10-7'!E49:E72,"&gt;=60.2",'MACHINE 10-7'!D49:D72,"="),"N/A"),"")</f>
        <v/>
      </c>
      <c r="E40" s="7"/>
      <c r="F40" s="7" t="str">
        <f>IF(ISNUMBER(IF(COUNT('MACHINE 10-7'!J89:J112),AVERAGEIFS('MACHINE 10-7'!J89:J112,'MACHINE 10-7'!E89:E112,"&lt;=623.7",'MACHINE 10-7'!E89:E112,"&gt;=60.2",'MACHINE 10-7'!D89:D112,"="),"N/A")),IF(COUNT('MACHINE 10-7'!J89:J112),AVERAGEIFS('MACHINE 10-7'!J89:J112,'MACHINE 10-7'!E89:E112,"&lt;=623.7",'MACHINE 10-7'!E89:E112,"&gt;=60.2",'MACHINE 10-7'!D89:D112,"="),"N/A"),"")</f>
        <v/>
      </c>
      <c r="G40" s="7"/>
      <c r="H40" s="7" t="str">
        <f>IF(ISNUMBER(IF(COUNT('MACHINE 10-7'!J128:J151),AVERAGEIFS('MACHINE 10-7'!J128:J151,'MACHINE 10-7'!E128:E151,"&lt;=623.7",'MACHINE 10-7'!E128:E151,"&gt;=60.2",'MACHINE 10-7'!D128:D151,"="),"N/A")),IF(COUNT('MACHINE 10-7'!J128:J151),AVERAGEIFS('MACHINE 10-7'!J128:J151,'MACHINE 10-7'!E128:E151,"&lt;=623.7",'MACHINE 10-7'!E128:E151,"&gt;=60.2",'MACHINE 10-7'!D128:D151,"="),"N/A"),"")</f>
        <v/>
      </c>
      <c r="I40" s="7"/>
      <c r="J40" s="7" t="str">
        <f>IF(ISNUMBER(IF(COUNT('MACHINE 10-7'!J167:J190),AVERAGEIFS('MACHINE 10-7'!J167:J190,'MACHINE 10-7'!E167:E190,"&lt;=623.7",'MACHINE 10-7'!E167:E190,"&gt;=60.2",'MACHINE 10-7'!D167:D190,"="),"N/A")),IF(COUNT('MACHINE 10-7'!J167:J190),AVERAGEIFS('MACHINE 10-7'!J167:J190,'MACHINE 10-7'!E167:E190,"&lt;=623.7",'MACHINE 10-7'!E167:E190,"&gt;=60.2",'MACHINE 10-7'!D167:D190,"="),"N/A"),"")</f>
        <v/>
      </c>
      <c r="K40" s="7"/>
      <c r="L40" s="7" t="str">
        <f>IF(ISNUMBER(IF(COUNT('MACHINE 10-7'!J206:J229),AVERAGEIFS('MACHINE 10-7'!J206:J229,'MACHINE 10-7'!E206:E229,"&lt;=623.7",'MACHINE 10-7'!E206:E229,"&gt;=60.2",'MACHINE 10-7'!D206:D229,"="),"N/A")),IF(COUNT('MACHINE 10-7'!J206:J229),AVERAGEIFS('MACHINE 10-7'!J206:J229,'MACHINE 10-7'!E206:E229,"&lt;=623.7",'MACHINE 10-7'!E206:E229,"&gt;=60.2",'MACHINE 10-7'!D206:D229,"="),"N/A"),"")</f>
        <v/>
      </c>
      <c r="M40" s="7"/>
      <c r="N40" s="7"/>
    </row>
    <row r="41" spans="1:14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 x14ac:dyDescent="0.2">
      <c r="A42" s="4"/>
      <c r="B42" s="158" t="s">
        <v>82</v>
      </c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</row>
    <row r="43" spans="1:14" x14ac:dyDescent="0.2">
      <c r="A43" s="4"/>
      <c r="B43" s="5" t="s">
        <v>61</v>
      </c>
      <c r="C43" s="5"/>
      <c r="D43" s="5" t="s">
        <v>62</v>
      </c>
      <c r="E43" s="5"/>
      <c r="F43" s="5" t="s">
        <v>63</v>
      </c>
      <c r="G43" s="5"/>
      <c r="H43" s="5" t="s">
        <v>64</v>
      </c>
      <c r="I43" s="5"/>
      <c r="J43" s="5" t="s">
        <v>65</v>
      </c>
      <c r="K43" s="5"/>
      <c r="L43" s="5" t="s">
        <v>66</v>
      </c>
      <c r="M43" s="5"/>
      <c r="N43" s="5" t="s">
        <v>67</v>
      </c>
    </row>
    <row r="44" spans="1:14" x14ac:dyDescent="0.2">
      <c r="A44" s="6" t="s">
        <v>60</v>
      </c>
      <c r="B44" s="7" t="str">
        <f>IF(ISNUMBER(IF(COUNT('MACHINE 6-1'!J9:J32),AVERAGEIFS('MACHINE 6-1'!J9:J32,'MACHINE 6-1'!D9:D32,"="),"N/A")),IF(COUNT('MACHINE 6-1'!J9:J32),AVERAGEIFS('MACHINE 6-1'!J9:J32,'MACHINE 6-1'!D9:D32,"="),"N/A"),"")</f>
        <v/>
      </c>
      <c r="C44" s="7"/>
      <c r="D44" s="7" t="str">
        <f>IF(ISNUMBER(IF(COUNT('MACHINE 6-1'!J49:J72),AVERAGEIFS('MACHINE 6-1'!J49:J72,'MACHINE 6-1'!D49:D72,"="),"N/A")),IF(COUNT('MACHINE 6-1'!J49:J72),AVERAGEIFS('MACHINE 6-1'!J49:J72,'MACHINE 6-1'!D49:D72,"="),"N/A"),"")</f>
        <v/>
      </c>
      <c r="E44" s="7"/>
      <c r="F44" s="7" t="str">
        <f>IF(ISNUMBER(IF(COUNT('MACHINE 6-1'!J89:J112),AVERAGEIFS('MACHINE 6-1'!J89:J112,'MACHINE 6-1'!D89:D112,"="),"N/A")),IF(COUNT('MACHINE 6-1'!J89:J112),AVERAGEIFS('MACHINE 6-1'!J89:J112,'MACHINE 6-1'!D89:D112,"="),"N/A"),"")</f>
        <v/>
      </c>
      <c r="G44" s="7"/>
      <c r="H44" s="7" t="str">
        <f>IF(ISNUMBER(IF(COUNT('MACHINE 6-1'!J129:J152),AVERAGEIFS('MACHINE 6-1'!J129:J152,'MACHINE 6-1'!D129:D152,"="),"N/A")),IF(COUNT('MACHINE 6-1'!J129:J152),AVERAGEIFS('MACHINE 6-1'!J129:J152,'MACHINE 6-1'!D129:D152,"="),"N/A"),"")</f>
        <v/>
      </c>
      <c r="I44" s="7"/>
      <c r="J44" s="7" t="str">
        <f>IF(ISNUMBER(IF(COUNT('MACHINE 6-1'!J169:J192),AVERAGEIFS('MACHINE 6-1'!J169:J192,'MACHINE 6-1'!D169:D192,"="),"N/A")),IF(COUNT('MACHINE 6-1'!J169:J192),AVERAGEIFS('MACHINE 6-1'!J169:J192,'MACHINE 6-1'!D169:D192,"="),"N/A"),"")</f>
        <v/>
      </c>
      <c r="K44" s="7"/>
      <c r="L44" s="7" t="str">
        <f>IF(ISNUMBER(IF(COUNT('MACHINE 6-1'!J209:J232),AVERAGEIFS('MACHINE 6-1'!J209:J232,'MACHINE 6-1'!D209:D232,"="),"N/A")),IF(COUNT('MACHINE 6-1'!J209:J232),AVERAGEIFS('MACHINE 6-1'!J209:J232,'MACHINE 6-1'!D209:D232,"="),"N/A"),"")</f>
        <v/>
      </c>
      <c r="M44" s="7"/>
      <c r="N44" s="7" t="str">
        <f>IF(ISNUMBER(IF(COUNT('MACHINE 6-1'!J249:J272),AVERAGEIFS('MACHINE 6-1'!J249:J272,'MACHINE 6-1'!D249:D272,"="),"N/A")),IF(COUNT('MACHINE 6-1'!J249:J272),AVERAGEIFS('MACHINE 6-1'!J249:J272,'MACHINE 6-1'!D249:D272,"="),"N/A"),"")</f>
        <v/>
      </c>
    </row>
    <row r="45" spans="1:14" x14ac:dyDescent="0.2">
      <c r="A45" s="5" t="s">
        <v>76</v>
      </c>
      <c r="B45" s="7" t="str">
        <f>IF(ISNUMBER(IF(COUNT('MACHINE 6-2 (10-2)'!J9:J32),AVERAGEIFS('MACHINE 6-2 (10-2)'!J9:J32,'MACHINE 6-2 (10-2)'!D9:D32,"="),"N/A")),IF(COUNT('MACHINE 6-2 (10-2)'!J9:J32),AVERAGEIFS('MACHINE 6-2 (10-2)'!J9:J32,'MACHINE 6-2 (10-2)'!D9:D32,"="),"N/A"),"")</f>
        <v/>
      </c>
      <c r="C45" s="7"/>
      <c r="D45" s="7" t="str">
        <f>IF(ISNUMBER(IF(COUNT('MACHINE 6-2 (10-2)'!J48:J71),AVERAGEIFS('MACHINE 6-2 (10-2)'!J48:J71,'MACHINE 6-2 (10-2)'!D48:D71,"="),"N/A")),IF(COUNT('MACHINE 6-2 (10-2)'!J48:J71),AVERAGEIFS('MACHINE 6-2 (10-2)'!J48:J71,'MACHINE 6-2 (10-2)'!D48:D71,"="),"N/A"),"")</f>
        <v/>
      </c>
      <c r="E45" s="7"/>
      <c r="F45" s="7" t="str">
        <f>IF(ISNUMBER(IF(COUNT('MACHINE 6-2 (10-2)'!J87:J110),AVERAGEIFS('MACHINE 6-2 (10-2)'!J87:J110,'MACHINE 6-2 (10-2)'!D87:D110,"="),"N/A")),IF(COUNT('MACHINE 6-2 (10-2)'!J87:J110),AVERAGEIFS('MACHINE 6-2 (10-2)'!J87:J110,'MACHINE 6-2 (10-2)'!D87:D110,"="),"N/A"),"")</f>
        <v/>
      </c>
      <c r="G45" s="7"/>
      <c r="H45" s="7" t="str">
        <f>IF(ISNUMBER(IF(COUNT('MACHINE 6-2 (10-2)'!J126:J149),AVERAGEIFS('MACHINE 6-2 (10-2)'!J126:J149,'MACHINE 6-2 (10-2)'!D126:D149,"="),"N/A")),IF(COUNT('MACHINE 6-2 (10-2)'!J126:J149),AVERAGEIFS('MACHINE 6-2 (10-2)'!J126:J149,'MACHINE 6-2 (10-2)'!D126:D149,"="),"N/A"),"")</f>
        <v/>
      </c>
      <c r="I45" s="7"/>
      <c r="J45" s="7" t="str">
        <f>IF(ISNUMBER(IF(COUNT('MACHINE 6-2 (10-2)'!J165:J188),AVERAGEIFS('MACHINE 6-2 (10-2)'!J165:J188,'MACHINE 6-2 (10-2)'!D165:D188,"="),"N/A")),IF(COUNT('MACHINE 6-2 (10-2)'!J165:J188),AVERAGEIFS('MACHINE 6-2 (10-2)'!J165:J188,'MACHINE 6-2 (10-2)'!D165:D188,"="),"N/A"),"")</f>
        <v/>
      </c>
      <c r="K45" s="7"/>
      <c r="L45" s="7" t="str">
        <f>IF(ISNUMBER(IF(COUNT('MACHINE 6-2 (10-2)'!J204:J227),AVERAGEIFS('MACHINE 6-2 (10-2)'!J204:J227,'MACHINE 6-2 (10-2)'!D204:D227,"="),"N/A")),IF(COUNT('MACHINE 6-2 (10-2)'!J204:J227),AVERAGEIFS('MACHINE 6-2 (10-2)'!J204:J227,'MACHINE 6-2 (10-2)'!D204:D227,"="),"N/A"),"")</f>
        <v/>
      </c>
      <c r="M45" s="7"/>
      <c r="N45" s="7" t="str">
        <f>IF(ISNUMBER(IF(COUNT('MACHINE 6-2 (10-2)'!J243:J266),AVERAGEIFS('MACHINE 6-2 (10-2)'!J243:J266,'MACHINE 6-2 (10-2)'!D243:D266,"="),"N/A")),IF(COUNT('MACHINE 6-2 (10-2)'!J243:J266),AVERAGEIFS('MACHINE 6-2 (10-2)'!J243:J266,'MACHINE 6-2 (10-2)'!D243:D266,"="),"N/A"),"")</f>
        <v/>
      </c>
    </row>
    <row r="46" spans="1:14" x14ac:dyDescent="0.2">
      <c r="A46" s="5" t="s">
        <v>68</v>
      </c>
      <c r="B46" s="7" t="str">
        <f>IF(ISNUMBER(IF(COUNT('MACHINE 10-3'!J9:J32),AVERAGEIFS('MACHINE 10-3'!J9:J32,'MACHINE 10-3'!D9:D32,"="),"N/A")),IF(COUNT('MACHINE 10-3'!J9:J32),AVERAGEIFS('MACHINE 10-3'!J9:J32,'MACHINE 10-3'!D9:D32,"="),"N/A"),"")</f>
        <v/>
      </c>
      <c r="C46" s="7"/>
      <c r="D46" s="7" t="str">
        <f>IF(ISNUMBER(IF(COUNT('MACHINE 10-3'!J49:J72),AVERAGEIFS('MACHINE 10-3'!J49:J72,'MACHINE 10-3'!D49:D72,"="),"N/A")),IF(COUNT('MACHINE 10-3'!J49:J72),AVERAGEIFS('MACHINE 10-3'!J49:J72,'MACHINE 10-3'!D49:D72,"="),"N/A"),"")</f>
        <v/>
      </c>
      <c r="E46" s="7"/>
      <c r="F46" s="7" t="str">
        <f>IF(ISNUMBER(IF(COUNT('MACHINE 10-3'!J89:J112),AVERAGEIFS('MACHINE 10-3'!J89:J112,'MACHINE 10-3'!D89:D112,"="),"N/A")),IF(COUNT('MACHINE 10-3'!J89:J112),AVERAGEIFS('MACHINE 10-3'!J89:J112,'MACHINE 10-3'!D89:D112,"="),"N/A"),"")</f>
        <v/>
      </c>
      <c r="G46" s="7"/>
      <c r="H46" s="7" t="str">
        <f>IF(ISNUMBER(IF(COUNT('MACHINE 10-3'!J128:J151),AVERAGEIFS('MACHINE 10-3'!J128:J151,'MACHINE 10-3'!D128:D151,"="),"N/A")),IF(COUNT('MACHINE 10-3'!J128:J151),AVERAGEIFS('MACHINE 10-3'!J128:J151,'MACHINE 10-3'!D128:D151,"="),"N/A"),"")</f>
        <v/>
      </c>
      <c r="I46" s="7"/>
      <c r="J46" s="7" t="str">
        <f>IF(ISNUMBER(IF(COUNT('MACHINE 10-3'!J167:J190),AVERAGEIFS('MACHINE 10-3'!J167:J190,'MACHINE 10-3'!D167:D190,"="),"N/A")),IF(COUNT('MACHINE 10-3'!J167:J190),AVERAGEIFS('MACHINE 10-3'!J167:J190,'MACHINE 10-3'!D167:D190,"="),"N/A"),"")</f>
        <v/>
      </c>
      <c r="K46" s="7"/>
      <c r="L46" s="7" t="str">
        <f>IF(ISNUMBER(IF(COUNT('MACHINE 10-3'!J206:J229),AVERAGEIFS('MACHINE 10-3'!J206:J229,'MACHINE 10-3'!D206:D229,"="),"N/A")),IF(COUNT('MACHINE 10-3'!J206:J229),AVERAGEIFS('MACHINE 10-3'!J206:J229,'MACHINE 10-3'!D206:D229,"="),"N/A"),"")</f>
        <v/>
      </c>
      <c r="M46" s="7"/>
      <c r="N46" s="7"/>
    </row>
    <row r="47" spans="1:14" x14ac:dyDescent="0.2">
      <c r="A47" s="5" t="s">
        <v>69</v>
      </c>
      <c r="B47" s="8" t="str">
        <f>IF(ISNUMBER(IF(COUNT('MACHINE 10-4'!J9:J32),AVERAGEIFS('MACHINE 10-4'!J9:J32,'MACHINE 10-4'!D9:D32,"="),"N/A")),IF(COUNT('MACHINE 10-4'!J9:J32),AVERAGEIFS('MACHINE 10-4'!J9:J32,'MACHINE 10-4'!D9:D32,"="),"N/A"),"")</f>
        <v/>
      </c>
      <c r="C47" s="8"/>
      <c r="D47" s="8" t="str">
        <f>IF(ISNUMBER(IF(COUNT('MACHINE 10-4'!J49:J72),AVERAGEIFS('MACHINE 10-4'!J49:J72,'MACHINE 10-4'!D49:D72,"="),"N/A")),IF(COUNT('MACHINE 10-4'!J49:J72),AVERAGEIFS('MACHINE 10-4'!J49:J72,'MACHINE 10-4'!D49:D72,"="),"N/A"),"")</f>
        <v/>
      </c>
      <c r="E47" s="8"/>
      <c r="F47" s="8" t="str">
        <f>IF(ISNUMBER(IF(COUNT('MACHINE 10-4'!J89:J112),AVERAGEIFS('MACHINE 10-4'!J89:J112,'MACHINE 10-4'!D89:D112,"="),"N/A")),IF(COUNT('MACHINE 10-4'!J89:J112),AVERAGEIFS('MACHINE 10-4'!J89:J112,'MACHINE 10-4'!D89:D112,"="),"N/A"),"")</f>
        <v/>
      </c>
      <c r="G47" s="8"/>
      <c r="H47" s="8" t="str">
        <f>IF(ISNUMBER(IF(COUNT('MACHINE 10-4'!J128:J151),AVERAGEIFS('MACHINE 10-4'!J128:J151,'MACHINE 10-4'!D128:D151,"="),"N/A")),IF(COUNT('MACHINE 10-4'!J128:J151),AVERAGEIFS('MACHINE 10-4'!J128:J151,'MACHINE 10-4'!D128:D151,"="),"N/A"),"")</f>
        <v/>
      </c>
      <c r="I47" s="8"/>
      <c r="J47" s="8" t="str">
        <f>IF(ISNUMBER(IF(COUNT('MACHINE 10-4'!J167:J190),AVERAGEIFS('MACHINE 10-4'!J167:J190,'MACHINE 10-4'!D167:D190,"="),"N/A")),IF(COUNT('MACHINE 10-4'!J167:J190),AVERAGEIFS('MACHINE 10-4'!J167:J190,'MACHINE 10-4'!D167:D190,"="),"N/A"),"")</f>
        <v/>
      </c>
      <c r="K47" s="8"/>
      <c r="L47" s="8" t="str">
        <f>IF(ISNUMBER(IF(COUNT('MACHINE 10-4'!J206:J229),AVERAGEIFS('MACHINE 10-4'!J206:J229,'MACHINE 10-4'!D206:D229,"="),"N/A")),IF(COUNT('MACHINE 10-4'!J206:J229),AVERAGEIFS('MACHINE 10-4'!J206:J229,'MACHINE 10-4'!D206:D229,"="),"N/A"),"")</f>
        <v/>
      </c>
      <c r="M47" s="7"/>
      <c r="N47" s="7"/>
    </row>
    <row r="48" spans="1:14" x14ac:dyDescent="0.2">
      <c r="A48" s="5" t="s">
        <v>70</v>
      </c>
      <c r="B48" s="7" t="str">
        <f>IF(ISNUMBER(IF(COUNT('MACHINE 10-5'!J9:J32),AVERAGEIFS('MACHINE 10-5'!J9:J32,'MACHINE 10-5'!D9:D32,"="),"N/A")),IF(COUNT('MACHINE 10-5'!J9:J32),AVERAGEIFS('MACHINE 10-5'!J9:J32,'MACHINE 10-5'!D9:D32,"="),"N/A"),"")</f>
        <v/>
      </c>
      <c r="C48" s="7"/>
      <c r="D48" s="7" t="str">
        <f>IF(ISNUMBER(IF(COUNT('MACHINE 10-5'!J49:J72),AVERAGEIFS('MACHINE 10-5'!J49:J72,'MACHINE 10-5'!D49:D72,"="),"N/A")),IF(COUNT('MACHINE 10-5'!J49:J72),AVERAGEIFS('MACHINE 10-5'!J49:J72,'MACHINE 10-5'!D49:D72,"="),"N/A"),"")</f>
        <v/>
      </c>
      <c r="E48" s="7"/>
      <c r="F48" s="7" t="str">
        <f>IF(ISNUMBER(IF(COUNT('MACHINE 10-5'!J89:J112),AVERAGEIFS('MACHINE 10-5'!J89:J112,'MACHINE 10-5'!D89:D112,"="),"N/A")),IF(COUNT('MACHINE 10-5'!J89:J112),AVERAGEIFS('MACHINE 10-5'!J89:J112,'MACHINE 10-5'!D89:D112,"="),"N/A"),"")</f>
        <v/>
      </c>
      <c r="G48" s="7"/>
      <c r="H48" s="7" t="str">
        <f>IF(ISNUMBER(IF(COUNT('MACHINE 10-5'!J128:J151),AVERAGEIFS('MACHINE 10-5'!J128:J151,'MACHINE 10-5'!D128:D151,"="),"N/A")),IF(COUNT('MACHINE 10-5'!J128:J151),AVERAGEIFS('MACHINE 10-5'!J128:J151,'MACHINE 10-5'!D128:D151,"="),"N/A"),"")</f>
        <v/>
      </c>
      <c r="I48" s="7"/>
      <c r="J48" s="7" t="str">
        <f>IF(ISNUMBER(IF(COUNT('MACHINE 10-5'!J167:J190),AVERAGEIFS('MACHINE 10-5'!J167:J190,'MACHINE 10-5'!D167:D190,"="),"N/A")),IF(COUNT('MACHINE 10-5'!J167:J190),AVERAGEIFS('MACHINE 10-5'!J167:J190,'MACHINE 10-5'!D167:D190,"="),"N/A"),"")</f>
        <v/>
      </c>
      <c r="K48" s="7"/>
      <c r="L48" s="7" t="str">
        <f>IF(ISNUMBER(IF(COUNT('MACHINE 10-5'!J206:J229),AVERAGEIFS('MACHINE 10-5'!J206:J229,'MACHINE 10-5'!D206:D229,"="),"N/A")),IF(COUNT('MACHINE 10-5'!J206:J229),AVERAGEIFS('MACHINE 10-5'!J206:J229,'MACHINE 10-5'!D206:D229,"="),"N/A"),"")</f>
        <v/>
      </c>
      <c r="M48" s="7"/>
      <c r="N48" s="7"/>
    </row>
    <row r="49" spans="1:14" x14ac:dyDescent="0.2">
      <c r="A49" s="5" t="s">
        <v>71</v>
      </c>
      <c r="B49" s="7" t="str">
        <f>IF(ISNUMBER(IF(COUNT('MACHINE 10-6'!J9:J32),AVERAGEIFS('MACHINE 10-6'!J9:J32,'MACHINE 10-6'!D9:D32,"="),"N/A")),IF(COUNT('MACHINE 10-6'!J9:J32),AVERAGEIFS('MACHINE 10-6'!J9:J32,'MACHINE 10-6'!D9:D32,"="),"N/A"),"")</f>
        <v/>
      </c>
      <c r="C49" s="82"/>
      <c r="D49" s="7" t="str">
        <f>IF(ISNUMBER(IF(COUNT('MACHINE 10-6'!J49:J72),AVERAGEIFS('MACHINE 10-6'!J49:J72,'MACHINE 10-6'!D49:D72,"="),"N/A")),IF(COUNT('MACHINE 10-6'!J49:J72),AVERAGEIFS('MACHINE 10-6'!J49:J72,'MACHINE 10-6'!D49:D72,"="),"N/A"),"")</f>
        <v/>
      </c>
      <c r="E49" s="7"/>
      <c r="F49" s="7" t="str">
        <f>IF(ISNUMBER(IF(COUNT('MACHINE 10-6'!J89:J112),AVERAGEIFS('MACHINE 10-6'!J89:J112,'MACHINE 10-6'!D89:D112,"="),"N/A")),IF(COUNT('MACHINE 10-6'!J89:J112),AVERAGEIFS('MACHINE 10-6'!J89:J112,'MACHINE 10-6'!D89:D112,"="),"N/A"),"")</f>
        <v/>
      </c>
      <c r="G49" s="7"/>
      <c r="H49" s="7" t="str">
        <f>IF(ISNUMBER(IF(COUNT('MACHINE 10-6'!J128:J151),AVERAGEIFS('MACHINE 10-6'!J128:J151,'MACHINE 10-6'!D128:D151,"="),"N/A")),IF(COUNT('MACHINE 10-6'!J128:J151),AVERAGEIFS('MACHINE 10-6'!J128:J151,'MACHINE 10-6'!D128:D151,"="),"N/A"),"")</f>
        <v/>
      </c>
      <c r="I49" s="7"/>
      <c r="J49" s="7" t="str">
        <f>IF(ISNUMBER(IF(COUNT('MACHINE 10-6'!J167:J190),AVERAGEIFS('MACHINE 10-6'!J167:J190,'MACHINE 10-6'!D167:D190,"="),"N/A")),IF(COUNT('MACHINE 10-6'!J167:J190),AVERAGEIFS('MACHINE 10-6'!J167:J190,'MACHINE 10-6'!D167:D190,"="),"N/A"),"")</f>
        <v/>
      </c>
      <c r="K49" s="7"/>
      <c r="L49" s="7" t="str">
        <f>IF(ISNUMBER(IF(COUNT('MACHINE 10-6'!J206:J229),AVERAGEIFS('MACHINE 10-6'!J206:J229,'MACHINE 10-6'!D206:D229,"="),"N/A")),IF(COUNT('MACHINE 10-6'!J206:J229),AVERAGEIFS('MACHINE 10-6'!J206:J229,'MACHINE 10-6'!D206:D229,"="),"N/A"),"")</f>
        <v/>
      </c>
      <c r="M49" s="7"/>
      <c r="N49" s="7"/>
    </row>
    <row r="50" spans="1:14" x14ac:dyDescent="0.2">
      <c r="A50" s="5" t="s">
        <v>72</v>
      </c>
      <c r="B50" s="7" t="str">
        <f>IF(ISNUMBER(IF(COUNT('MACHINE 10-7'!J9:J32),AVERAGEIFS('MACHINE 10-7'!J9:J32,'MACHINE 10-7'!D9:D32,"="),"N/A")),IF(COUNT('MACHINE 10-7'!J9:J32),AVERAGEIFS('MACHINE 10-7'!J9:J32,'MACHINE 10-7'!D9:D32,"="),"N/A"),"")</f>
        <v/>
      </c>
      <c r="C50" s="7"/>
      <c r="D50" s="7" t="str">
        <f>IF(ISNUMBER(IF(COUNT('MACHINE 10-7'!J49:J72),AVERAGEIFS('MACHINE 10-7'!J49:J72,'MACHINE 10-7'!D49:D72,"="),"N/A")),IF(COUNT('MACHINE 10-7'!J49:J72),AVERAGEIFS('MACHINE 10-7'!J49:J72,'MACHINE 10-7'!D49:D72,"="),"N/A"),"")</f>
        <v/>
      </c>
      <c r="E50" s="7"/>
      <c r="F50" s="7" t="str">
        <f>IF(ISNUMBER(IF(COUNT('MACHINE 10-7'!J89:J112),AVERAGEIFS('MACHINE 10-7'!J89:J112,'MACHINE 10-7'!D89:D112,"="),"N/A")),IF(COUNT('MACHINE 10-7'!J89:J112),AVERAGEIFS('MACHINE 10-7'!J89:J112,'MACHINE 10-7'!D89:D112,"="),"N/A"),"")</f>
        <v/>
      </c>
      <c r="G50" s="7"/>
      <c r="H50" s="7" t="str">
        <f>IF(ISNUMBER(IF(COUNT('MACHINE 10-7'!J128:J151),AVERAGEIFS('MACHINE 10-7'!J128:J151,'MACHINE 10-7'!D128:D151,"="),"N/A")),IF(COUNT('MACHINE 10-7'!J128:J151),AVERAGEIFS('MACHINE 10-7'!J128:J151,'MACHINE 10-7'!D128:D151,"="),"N/A"),"")</f>
        <v/>
      </c>
      <c r="I50" s="7"/>
      <c r="J50" s="7" t="str">
        <f>IF(ISNUMBER(IF(COUNT('MACHINE 10-7'!J167:J190),AVERAGEIFS('MACHINE 10-7'!J167:J190,'MACHINE 10-7'!D167:D190,"="),"N/A")),IF(COUNT('MACHINE 10-7'!J167:J190),AVERAGEIFS('MACHINE 10-7'!J167:J190,'MACHINE 10-7'!D167:D190,"="),"N/A"),"")</f>
        <v/>
      </c>
      <c r="K50" s="7"/>
      <c r="L50" s="7" t="str">
        <f>IF(ISNUMBER(IF(COUNT('MACHINE 10-7'!J206:J229),AVERAGEIFS('MACHINE 10-7'!J206:J229,'MACHINE 10-7'!D206:D229,"="),"N/A")),IF(COUNT('MACHINE 10-7'!J206:J229),AVERAGEIFS('MACHINE 10-7'!J206:J229,'MACHINE 10-7'!D206:D229,"="),"N/A"),"")</f>
        <v/>
      </c>
      <c r="M50" s="7"/>
      <c r="N50" s="7"/>
    </row>
    <row r="51" spans="1:14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 x14ac:dyDescent="0.2">
      <c r="A52" s="4"/>
      <c r="B52" s="159" t="s">
        <v>75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1:14" x14ac:dyDescent="0.2">
      <c r="A53" s="4"/>
      <c r="B53" s="5" t="s">
        <v>61</v>
      </c>
      <c r="C53" s="5"/>
      <c r="D53" s="5" t="s">
        <v>62</v>
      </c>
      <c r="E53" s="5"/>
      <c r="F53" s="5" t="s">
        <v>63</v>
      </c>
      <c r="G53" s="5"/>
      <c r="H53" s="5" t="s">
        <v>64</v>
      </c>
      <c r="I53" s="5"/>
      <c r="J53" s="5" t="s">
        <v>65</v>
      </c>
      <c r="K53" s="5"/>
      <c r="L53" s="5" t="s">
        <v>66</v>
      </c>
      <c r="M53" s="5"/>
      <c r="N53" s="5" t="s">
        <v>67</v>
      </c>
    </row>
    <row r="54" spans="1:14" x14ac:dyDescent="0.2">
      <c r="A54" s="6" t="s">
        <v>60</v>
      </c>
      <c r="B54" s="7" t="str">
        <f>IF(ISNUMBER(IF(COUNT('MACHINE 6-1'!J9:J32),AVERAGEIF('MACHINE 6-1'!D9:D32,"=a",'MACHINE 6-1'!J9:J32),"N/A")),IF(COUNT('MACHINE 6-1'!J9:J32),AVERAGEIF('MACHINE 6-1'!D9:D32,"=a",'MACHINE 6-1'!J9:J32),"N/A"),"")</f>
        <v/>
      </c>
      <c r="C54" s="7"/>
      <c r="D54" s="7" t="str">
        <f>IF(ISNUMBER(IF(COUNT('MACHINE 6-1'!J49:J72),AVERAGEIF('MACHINE 6-1'!D49:D72,"=a",'MACHINE 6-1'!J49:J72),"N/A")),IF(COUNT('MACHINE 6-1'!J49:J72),AVERAGEIF('MACHINE 6-1'!D49:D72,"=a",'MACHINE 6-1'!J49:J72),"N/A"),"")</f>
        <v/>
      </c>
      <c r="E54" s="7"/>
      <c r="F54" s="7" t="str">
        <f>IF(ISNUMBER(IF(COUNT('MACHINE 6-1'!J89:J112),AVERAGEIF('MACHINE 6-1'!D89:D112,"=a",'MACHINE 6-1'!J89:J112),"N/A")),IF(COUNT('MACHINE 6-1'!J89:J112),AVERAGEIF('MACHINE 6-1'!D89:D112,"=a",'MACHINE 6-1'!J89:J112),"N/A"),"")</f>
        <v/>
      </c>
      <c r="G54" s="7"/>
      <c r="H54" s="7" t="str">
        <f>IF(ISNUMBER(IF(COUNT('MACHINE 6-1'!J129:J152),AVERAGEIF('MACHINE 6-1'!D129:D152,"=a",'MACHINE 6-1'!J129:J152),"N/A")),IF(COUNT('MACHINE 6-1'!J129:J152),AVERAGEIF('MACHINE 6-1'!D129:D152,"=a",'MACHINE 6-1'!J129:J152),"N/A"),"")</f>
        <v/>
      </c>
      <c r="I54" s="7"/>
      <c r="J54" s="7" t="str">
        <f>IF(ISNUMBER(IF(COUNT('MACHINE 6-1'!J169:J192),AVERAGEIF('MACHINE 6-1'!D169:D192,"=a",'MACHINE 6-1'!J169:J192),"N/A")),IF(COUNT('MACHINE 6-1'!J169:J192),AVERAGEIF('MACHINE 6-1'!D169:D192,"=a",'MACHINE 6-1'!J169:J192),"N/A"),"")</f>
        <v/>
      </c>
      <c r="K54" s="7"/>
      <c r="L54" s="7" t="str">
        <f>IF(ISNUMBER(IF(COUNT('MACHINE 6-1'!J209:J232),AVERAGEIF('MACHINE 6-1'!D209:D232,"=a",'MACHINE 6-1'!J209:J232),"N/A")),IF(COUNT('MACHINE 6-1'!J209:J232),AVERAGEIF('MACHINE 6-1'!D209:D232,"=a",'MACHINE 6-1'!J209:J232),"N/A"),"")</f>
        <v/>
      </c>
      <c r="M54" s="7"/>
      <c r="N54" s="7" t="str">
        <f>IF(ISNUMBER(IF(COUNT('MACHINE 6-1'!J249:J272),AVERAGEIF('MACHINE 6-1'!D249:D272,"=a",'MACHINE 6-1'!J249:J272),"N/A")),IF(COUNT('MACHINE 6-1'!J249:J272),AVERAGEIF('MACHINE 6-1'!D249:D272,"=a",'MACHINE 6-1'!J249:J272),"N/A"),"")</f>
        <v/>
      </c>
    </row>
    <row r="55" spans="1:14" x14ac:dyDescent="0.2">
      <c r="A55" s="5" t="s">
        <v>76</v>
      </c>
      <c r="B55" s="7" t="str">
        <f>IF(ISNUMBER(IF(COUNT('MACHINE 6-2 (10-2)'!J9:J32),AVERAGEIF('MACHINE 6-2 (10-2)'!D9:D32,"=a",'MACHINE 6-2 (10-2)'!J9:J32),"N/A")),IF(COUNT('MACHINE 6-2 (10-2)'!J9:J32),AVERAGEIF('MACHINE 6-2 (10-2)'!D9:D32,"=a",'MACHINE 6-2 (10-2)'!J9:J32),"N/A"),"")</f>
        <v/>
      </c>
      <c r="C55" s="7"/>
      <c r="D55" s="7" t="str">
        <f>IF(ISNUMBER(IF(COUNT('MACHINE 6-2 (10-2)'!J48:J71),AVERAGEIF('MACHINE 6-2 (10-2)'!D48:D71,"=a",'MACHINE 6-2 (10-2)'!J48:J71),"N/A")),IF(COUNT('MACHINE 6-2 (10-2)'!J48:J71),AVERAGEIF('MACHINE 6-2 (10-2)'!D48:D71,"=a",'MACHINE 6-2 (10-2)'!J48:J71),"N/A"),"")</f>
        <v/>
      </c>
      <c r="E55" s="7"/>
      <c r="F55" s="7" t="str">
        <f>IF(ISNUMBER(IF(COUNT('MACHINE 6-2 (10-2)'!J87:J110),AVERAGEIF('MACHINE 6-2 (10-2)'!D87:D110,"=a",'MACHINE 6-2 (10-2)'!J87:J110),"N/A")),IF(COUNT('MACHINE 6-2 (10-2)'!J87:J110),AVERAGEIF('MACHINE 6-2 (10-2)'!D87:D110,"=a",'MACHINE 6-2 (10-2)'!J87:J110),"N/A"),"")</f>
        <v/>
      </c>
      <c r="G55" s="7"/>
      <c r="H55" s="7" t="str">
        <f>IF(ISNUMBER(IF(COUNT('MACHINE 6-2 (10-2)'!J126:J149),AVERAGEIF('MACHINE 6-2 (10-2)'!D126:D149,"=a",'MACHINE 6-2 (10-2)'!J126:J149),"N/A")),IF(COUNT('MACHINE 6-2 (10-2)'!J126:J149),AVERAGEIF('MACHINE 6-2 (10-2)'!D126:D149,"=a",'MACHINE 6-2 (10-2)'!J126:J149),"N/A"),"")</f>
        <v/>
      </c>
      <c r="I55" s="7"/>
      <c r="J55" s="7" t="str">
        <f>IF(ISNUMBER(IF(COUNT('MACHINE 6-2 (10-2)'!J165:J188),AVERAGEIF('MACHINE 6-2 (10-2)'!D165:D188,"=a",'MACHINE 6-2 (10-2)'!J165:J188),"N/A")),IF(COUNT('MACHINE 6-2 (10-2)'!J165:J188),AVERAGEIF('MACHINE 6-2 (10-2)'!D165:D188,"=a",'MACHINE 6-2 (10-2)'!J165:J188),"N/A"),"")</f>
        <v/>
      </c>
      <c r="K55" s="7"/>
      <c r="L55" s="7" t="str">
        <f>IF(ISNUMBER(IF(COUNT('MACHINE 6-2 (10-2)'!J204:J227),AVERAGEIF('MACHINE 6-2 (10-2)'!D204:D227,"=a",'MACHINE 6-2 (10-2)'!J204:J227),"N/A")),IF(COUNT('MACHINE 6-2 (10-2)'!J204:J227),AVERAGEIF('MACHINE 6-2 (10-2)'!D204:D227,"=a",'MACHINE 6-2 (10-2)'!J204:J227),"N/A"),"")</f>
        <v/>
      </c>
      <c r="M55" s="7"/>
      <c r="N55" s="7" t="str">
        <f>IF(ISNUMBER(IF(COUNT('MACHINE 6-2 (10-2)'!J243:J266),AVERAGEIF('MACHINE 6-2 (10-2)'!D243:D266,"=a",'MACHINE 6-2 (10-2)'!J243:J266),"N/A")),IF(COUNT('MACHINE 6-2 (10-2)'!J243:J266),AVERAGEIF('MACHINE 6-2 (10-2)'!D243:D266,"=a",'MACHINE 6-2 (10-2)'!J243:J266),"N/A"),"")</f>
        <v/>
      </c>
    </row>
    <row r="56" spans="1:14" x14ac:dyDescent="0.2">
      <c r="A56" s="5" t="s">
        <v>68</v>
      </c>
      <c r="B56" s="7" t="str">
        <f>IF(ISNUMBER(IF(COUNT('MACHINE 10-3'!J9:J32),AVERAGEIF('MACHINE 10-3'!D9:D32,"=a",'MACHINE 10-3'!J9:J32),"N/A")),IF(COUNT('MACHINE 10-3'!J9:J32),AVERAGEIF('MACHINE 10-3'!D9:D32,"=a",'MACHINE 10-3'!J9:J32),"N/A"),"")</f>
        <v/>
      </c>
      <c r="C56" s="7"/>
      <c r="D56" s="7" t="str">
        <f>IF(ISNUMBER(IF(COUNT('MACHINE 10-3'!J49:J72),AVERAGEIF('MACHINE 10-3'!D49:D72,"=a",'MACHINE 10-3'!J49:J72),"N/A")),IF(COUNT('MACHINE 10-3'!J49:J72),AVERAGEIF('MACHINE 10-3'!D49:D72,"=a",'MACHINE 10-3'!J49:J72),"N/A"),"")</f>
        <v/>
      </c>
      <c r="E56" s="7"/>
      <c r="F56" s="7" t="str">
        <f>IF(ISNUMBER(IF(COUNT('MACHINE 10-3'!J89:J112),AVERAGEIF('MACHINE 10-3'!D89:D112,"=a",'MACHINE 10-3'!J89:J112),"N/A")),IF(COUNT('MACHINE 10-3'!J89:J112),AVERAGEIF('MACHINE 10-3'!D89:D112,"=a",'MACHINE 10-3'!J89:J112),"N/A"),"")</f>
        <v/>
      </c>
      <c r="G56" s="7"/>
      <c r="H56" s="7" t="str">
        <f>IF(ISNUMBER(IF(COUNT('MACHINE 10-3'!J128:J151),AVERAGEIF('MACHINE 10-3'!D128:D151,"=a",'MACHINE 10-3'!J128:J151),"N/A")),IF(COUNT('MACHINE 10-3'!J128:J151),AVERAGEIF('MACHINE 10-3'!D128:D151,"=a",'MACHINE 10-3'!J128:J151),"N/A"),"")</f>
        <v/>
      </c>
      <c r="I56" s="7"/>
      <c r="J56" s="7" t="str">
        <f>IF(ISNUMBER(IF(COUNT('MACHINE 10-3'!J167:J190),AVERAGEIF('MACHINE 10-3'!D167:D190,"=a",'MACHINE 10-3'!J167:J190),"N/A")),IF(COUNT('MACHINE 10-3'!J167:J190),AVERAGEIF('MACHINE 10-3'!D167:D190,"=a",'MACHINE 10-3'!J167:J190),"N/A"),"")</f>
        <v/>
      </c>
      <c r="K56" s="7"/>
      <c r="L56" s="7" t="str">
        <f>IF(ISNUMBER(IF(COUNT('MACHINE 10-3'!J206:J229),AVERAGEIF('MACHINE 10-3'!D206:D229,"=a",'MACHINE 10-3'!J206:J229),"N/A")),IF(COUNT('MACHINE 10-3'!J206:J229),AVERAGEIF('MACHINE 10-3'!D206:D229,"=a",'MACHINE 10-3'!J206:J229),"N/A"),"")</f>
        <v/>
      </c>
      <c r="M56" s="7"/>
      <c r="N56" s="7"/>
    </row>
    <row r="57" spans="1:14" x14ac:dyDescent="0.2">
      <c r="A57" s="5" t="s">
        <v>69</v>
      </c>
      <c r="B57" s="7" t="str">
        <f>IF(ISNUMBER(IF(COUNT('MACHINE 10-4'!J9:J32),AVERAGEIF('MACHINE 10-4'!D9:D32,"=a",'MACHINE 10-4'!J9:J32),"N/A")),IF(COUNT('MACHINE 10-4'!J9:J32),AVERAGEIF('MACHINE 10-4'!D9:D32,"=a",'MACHINE 10-4'!J9:J32),"N/A"),"")</f>
        <v/>
      </c>
      <c r="C57" s="7"/>
      <c r="D57" s="7" t="str">
        <f>IF(ISNUMBER(IF(COUNT('MACHINE 10-4'!J49:J72),AVERAGEIF('MACHINE 10-4'!D49:D72,"=a",'MACHINE 10-4'!J49:J72),"N/A")),IF(COUNT('MACHINE 10-4'!J49:J72),AVERAGEIF('MACHINE 10-4'!D49:D72,"=a",'MACHINE 10-4'!J49:J72),"N/A"),"")</f>
        <v/>
      </c>
      <c r="E57" s="7"/>
      <c r="F57" s="7" t="str">
        <f>IF(ISNUMBER(IF(COUNT('MACHINE 10-4'!J89:J112),AVERAGEIF('MACHINE 10-4'!D89:D112,"=a",'MACHINE 10-4'!J89:J112),"N/A")),IF(COUNT('MACHINE 10-4'!J89:J112),AVERAGEIF('MACHINE 10-4'!D89:D112,"=a",'MACHINE 10-4'!J89:J112),"N/A"),"")</f>
        <v/>
      </c>
      <c r="G57" s="7"/>
      <c r="H57" s="7" t="str">
        <f>IF(ISNUMBER(IF(COUNT('MACHINE 10-4'!J128:J151),AVERAGEIF('MACHINE 10-4'!D128:D151,"=a",'MACHINE 10-4'!J128:J151),"N/A")),IF(COUNT('MACHINE 10-4'!J128:J151),AVERAGEIF('MACHINE 10-4'!D128:D151,"=a",'MACHINE 10-4'!J128:J151),"N/A"),"")</f>
        <v/>
      </c>
      <c r="I57" s="7"/>
      <c r="J57" s="7" t="str">
        <f>IF(ISNUMBER(IF(COUNT('MACHINE 10-4'!J167:J190),AVERAGEIF('MACHINE 10-4'!D167:D190,"=a",'MACHINE 10-4'!J167:J190),"N/A")),IF(COUNT('MACHINE 10-4'!J167:J190),AVERAGEIF('MACHINE 10-4'!D167:D190,"=a",'MACHINE 10-4'!J167:J190),"N/A"),"")</f>
        <v/>
      </c>
      <c r="K57" s="7"/>
      <c r="L57" s="7" t="str">
        <f>IF(ISNUMBER(IF(COUNT('MACHINE 10-4'!J206:J229),AVERAGEIF('MACHINE 10-4'!D206:D229,"=a",'MACHINE 10-4'!J206:J229),"N/A")),IF(COUNT('MACHINE 10-4'!J206:J229),AVERAGEIF('MACHINE 10-4'!D206:D229,"=a",'MACHINE 10-4'!J206:J229),"N/A"),"")</f>
        <v/>
      </c>
      <c r="M57" s="7"/>
      <c r="N57" s="7"/>
    </row>
    <row r="58" spans="1:14" x14ac:dyDescent="0.2">
      <c r="A58" s="5" t="s">
        <v>70</v>
      </c>
      <c r="B58" s="7" t="str">
        <f>IF(ISNUMBER(IF(COUNT('MACHINE 10-5'!J9:J32),AVERAGEIF('MACHINE 10-5'!D9:D32,"=a",'MACHINE 10-5'!J9:J32),"N/A")),IF(COUNT('MACHINE 10-5'!J9:J32),AVERAGEIF('MACHINE 10-5'!D9:D32,"=a",'MACHINE 10-5'!J9:J32),"N/A"),"")</f>
        <v/>
      </c>
      <c r="C58" s="7"/>
      <c r="D58" s="7" t="str">
        <f>IF(ISNUMBER(IF(COUNT('MACHINE 10-5'!J49:J72),AVERAGEIF('MACHINE 10-5'!D49:D72,"=a",'MACHINE 10-5'!J49:J72),"N/A")),IF(COUNT('MACHINE 10-5'!J49:J72),AVERAGEIF('MACHINE 10-5'!D49:D72,"=a",'MACHINE 10-5'!J49:J72),"N/A"),"")</f>
        <v/>
      </c>
      <c r="E58" s="7"/>
      <c r="F58" s="7" t="str">
        <f>IF(ISNUMBER(IF(COUNT('MACHINE 10-5'!J89:J112),AVERAGEIF('MACHINE 10-5'!D89:D112,"=a",'MACHINE 10-5'!J89:J112),"N/A")),IF(COUNT('MACHINE 10-5'!J89:J112),AVERAGEIF('MACHINE 10-5'!D89:D112,"=a",'MACHINE 10-5'!J89:J112),"N/A"),"")</f>
        <v/>
      </c>
      <c r="G58" s="7"/>
      <c r="H58" s="7" t="str">
        <f>IF(ISNUMBER(IF(COUNT('MACHINE 10-5'!J128:J151),AVERAGEIF('MACHINE 10-5'!D128:D151,"=a",'MACHINE 10-5'!J128:J151),"N/A")),IF(COUNT('MACHINE 10-5'!J128:J151),AVERAGEIF('MACHINE 10-5'!D128:D151,"=a",'MACHINE 10-5'!J128:J151),"N/A"),"")</f>
        <v/>
      </c>
      <c r="I58" s="7"/>
      <c r="J58" s="7" t="str">
        <f>IF(ISNUMBER(IF(COUNT('MACHINE 10-5'!J167:J190),AVERAGEIF('MACHINE 10-5'!D167:D190,"=a",'MACHINE 10-5'!J167:J190),"N/A")),IF(COUNT('MACHINE 10-5'!J167:J190),AVERAGEIF('MACHINE 10-5'!D167:D190,"=a",'MACHINE 10-5'!J167:J190),"N/A"),"")</f>
        <v/>
      </c>
      <c r="K58" s="7"/>
      <c r="L58" s="7" t="str">
        <f>IF(ISNUMBER(IF(COUNT('MACHINE 10-5'!J206:J229),AVERAGEIF('MACHINE 10-5'!D206:D229,"=a",'MACHINE 10-5'!J206:J229),"N/A")),IF(COUNT('MACHINE 10-5'!J206:J229),AVERAGEIF('MACHINE 10-5'!D206:D229,"=a",'MACHINE 10-5'!J206:J229),"N/A"),"")</f>
        <v/>
      </c>
      <c r="M58" s="7"/>
      <c r="N58" s="7"/>
    </row>
    <row r="59" spans="1:14" x14ac:dyDescent="0.2">
      <c r="A59" s="5" t="s">
        <v>71</v>
      </c>
      <c r="B59" s="7" t="str">
        <f>IF(ISNUMBER(IF(COUNT('MACHINE 10-6'!J9:J32),AVERAGEIF('MACHINE 10-6'!D9:D32,"=a",'MACHINE 10-6'!J9:J32),"N/A")),IF(COUNT('MACHINE 10-6'!J9:J32),AVERAGEIF('MACHINE 10-6'!D9:D32,"=a",'MACHINE 10-6'!J9:J32),"N/A"),"")</f>
        <v/>
      </c>
      <c r="C59" s="7"/>
      <c r="D59" s="7" t="str">
        <f>IF(ISNUMBER(IF(COUNT('MACHINE 10-6'!J49:J72),AVERAGEIF('MACHINE 10-6'!D49:D72,"=a",'MACHINE 10-6'!J49:J72),"N/A")),IF(COUNT('MACHINE 10-6'!J49:J72),AVERAGEIF('MACHINE 10-6'!D49:D72,"=a",'MACHINE 10-6'!J49:J72),"N/A"),"")</f>
        <v/>
      </c>
      <c r="E59" s="7"/>
      <c r="F59" s="7" t="str">
        <f>IF(ISNUMBER(IF(COUNT('MACHINE 10-6'!J89:J112),AVERAGEIF('MACHINE 10-6'!D89:D112,"=a",'MACHINE 10-6'!J89:J112),"N/A")),IF(COUNT('MACHINE 10-6'!J89:J112),AVERAGEIF('MACHINE 10-6'!D89:D112,"=a",'MACHINE 10-6'!J89:J112),"N/A"),"")</f>
        <v/>
      </c>
      <c r="G59" s="7"/>
      <c r="H59" s="7" t="str">
        <f>IF(ISNUMBER(IF(COUNT('MACHINE 10-6'!J128:J151),AVERAGEIF('MACHINE 10-6'!D128:D151,"=a",'MACHINE 10-6'!J128:J151),"N/A")),IF(COUNT('MACHINE 10-6'!J128:J151),AVERAGEIF('MACHINE 10-6'!D128:D151,"=a",'MACHINE 10-6'!J128:J151),"N/A"),"")</f>
        <v/>
      </c>
      <c r="I59" s="7"/>
      <c r="J59" s="7" t="str">
        <f>IF(ISNUMBER(IF(COUNT('MACHINE 10-6'!J167:J190),AVERAGEIF('MACHINE 10-6'!D167:D190,"=a",'MACHINE 10-6'!J167:J190),"N/A")),IF(COUNT('MACHINE 10-6'!J167:J190),AVERAGEIF('MACHINE 10-6'!D167:D190,"=a",'MACHINE 10-6'!J167:J190),"N/A"),"")</f>
        <v/>
      </c>
      <c r="K59" s="7"/>
      <c r="L59" s="7" t="str">
        <f>IF(ISNUMBER(IF(COUNT('MACHINE 10-6'!J206:J229),AVERAGEIF('MACHINE 10-6'!D206:D229,"=a",'MACHINE 10-6'!J206:J229),"N/A")),IF(COUNT('MACHINE 10-6'!J206:J229),AVERAGEIF('MACHINE 10-6'!D206:D229,"=a",'MACHINE 10-6'!J206:J229),"N/A"),"")</f>
        <v/>
      </c>
      <c r="M59" s="7"/>
      <c r="N59" s="7"/>
    </row>
    <row r="60" spans="1:14" x14ac:dyDescent="0.2">
      <c r="A60" s="5" t="s">
        <v>72</v>
      </c>
      <c r="B60" s="7" t="str">
        <f>IF(ISNUMBER(IF(COUNT('MACHINE 10-7'!J9:J32),AVERAGEIF('MACHINE 10-7'!D9:D32,"=a",'MACHINE 10-7'!J9:J32),"N/A")),IF(COUNT('MACHINE 10-7'!J9:J32),AVERAGEIF('MACHINE 10-7'!D9:D32,"=a",'MACHINE 10-7'!J9:J32),"N/A"),"")</f>
        <v/>
      </c>
      <c r="C60" s="7"/>
      <c r="D60" s="7" t="str">
        <f>IF(ISNUMBER(IF(COUNT('MACHINE 10-7'!J49:J72),AVERAGEIF('MACHINE 10-7'!D49:D72,"=a",'MACHINE 10-7'!J49:J72),"N/A")),IF(COUNT('MACHINE 10-7'!J49:J72),AVERAGEIF('MACHINE 10-7'!D49:D72,"=a",'MACHINE 10-7'!J49:J72),"N/A"),"")</f>
        <v/>
      </c>
      <c r="E60" s="7"/>
      <c r="F60" s="7" t="str">
        <f>IF(ISNUMBER(IF(COUNT('MACHINE 10-7'!J89:J112),AVERAGEIF('MACHINE 10-7'!D89:D112,"=a",'MACHINE 10-7'!J89:J112),"N/A")),IF(COUNT('MACHINE 10-7'!J89:J112),AVERAGEIF('MACHINE 10-7'!D89:D112,"=a",'MACHINE 10-7'!J89:J112),"N/A"),"")</f>
        <v/>
      </c>
      <c r="G60" s="7"/>
      <c r="H60" s="7" t="str">
        <f>IF(ISNUMBER(IF(COUNT('MACHINE 10-7'!J128:J151),AVERAGEIF('MACHINE 10-7'!D128:D151,"=a",'MACHINE 10-7'!J128:J151),"N/A")),IF(COUNT('MACHINE 10-7'!J128:J151),AVERAGEIF('MACHINE 10-7'!D128:D151,"=a",'MACHINE 10-7'!J128:J151),"N/A"),"")</f>
        <v/>
      </c>
      <c r="I60" s="7"/>
      <c r="J60" s="7" t="str">
        <f>IF(ISNUMBER(IF(COUNT('MACHINE 10-7'!J167:J190),AVERAGEIF('MACHINE 10-7'!D167:D190,"=a",'MACHINE 10-7'!J167:J190),"N/A")),IF(COUNT('MACHINE 10-7'!J167:J190),AVERAGEIF('MACHINE 10-7'!D167:D190,"=a",'MACHINE 10-7'!J167:J190),"N/A"),"")</f>
        <v/>
      </c>
      <c r="K60" s="7"/>
      <c r="L60" s="7" t="str">
        <f>IF(ISNUMBER(IF(COUNT('MACHINE 10-7'!J206:J229),AVERAGEIF('MACHINE 10-7'!D206:D229,"=a",'MACHINE 10-7'!J206:J229),"N/A")),IF(COUNT('MACHINE 10-7'!J206:J229),AVERAGEIF('MACHINE 10-7'!D206:D229,"=a",'MACHINE 10-7'!J206:J229),"N/A"),"")</f>
        <v/>
      </c>
      <c r="M60" s="7"/>
      <c r="N60" s="7"/>
    </row>
  </sheetData>
  <sheetProtection password="D7AD" sheet="1" objects="1" scenarios="1"/>
  <mergeCells count="49">
    <mergeCell ref="B42:N42"/>
    <mergeCell ref="B32:N32"/>
    <mergeCell ref="B52:N52"/>
    <mergeCell ref="L10:L11"/>
    <mergeCell ref="N10:N11"/>
    <mergeCell ref="J18:J19"/>
    <mergeCell ref="L18:L19"/>
    <mergeCell ref="N18:N19"/>
    <mergeCell ref="J10:J11"/>
    <mergeCell ref="B22:N22"/>
    <mergeCell ref="B14:B15"/>
    <mergeCell ref="D14:D15"/>
    <mergeCell ref="F14:F15"/>
    <mergeCell ref="H14:H15"/>
    <mergeCell ref="J14:J15"/>
    <mergeCell ref="L14:L15"/>
    <mergeCell ref="N14:N15"/>
    <mergeCell ref="A2:A4"/>
    <mergeCell ref="D2:D3"/>
    <mergeCell ref="F2:F3"/>
    <mergeCell ref="H2:H3"/>
    <mergeCell ref="A10:A12"/>
    <mergeCell ref="B10:B11"/>
    <mergeCell ref="D10:D11"/>
    <mergeCell ref="F10:F11"/>
    <mergeCell ref="H10:H11"/>
    <mergeCell ref="A6:A8"/>
    <mergeCell ref="A14:A16"/>
    <mergeCell ref="A18:A20"/>
    <mergeCell ref="B18:B19"/>
    <mergeCell ref="D18:D19"/>
    <mergeCell ref="F18:F19"/>
    <mergeCell ref="H18:H19"/>
    <mergeCell ref="P2:P3"/>
    <mergeCell ref="P6:P7"/>
    <mergeCell ref="P10:P11"/>
    <mergeCell ref="P18:P19"/>
    <mergeCell ref="B2:B3"/>
    <mergeCell ref="D6:D7"/>
    <mergeCell ref="F6:F7"/>
    <mergeCell ref="B6:B7"/>
    <mergeCell ref="H6:H7"/>
    <mergeCell ref="L2:L3"/>
    <mergeCell ref="N2:N3"/>
    <mergeCell ref="J6:J7"/>
    <mergeCell ref="L6:L7"/>
    <mergeCell ref="N6:N7"/>
    <mergeCell ref="J2:J3"/>
    <mergeCell ref="P14:P15"/>
  </mergeCells>
  <pageMargins left="0.7" right="0.7" top="0.75" bottom="0.75" header="0.3" footer="0.3"/>
  <pageSetup scale="7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14</vt:i4>
      </vt:variant>
    </vt:vector>
  </HeadingPairs>
  <TitlesOfParts>
    <vt:vector size="22" baseType="lpstr">
      <vt:lpstr>MACHINE 6-1</vt:lpstr>
      <vt:lpstr>MACHINE 6-2 (10-2)</vt:lpstr>
      <vt:lpstr>MACHINE 10-3</vt:lpstr>
      <vt:lpstr>MACHINE 10-4</vt:lpstr>
      <vt:lpstr>MACHINE 10-5</vt:lpstr>
      <vt:lpstr>MACHINE 10-6</vt:lpstr>
      <vt:lpstr>MACHINE 10-7</vt:lpstr>
      <vt:lpstr>Weekly Summary</vt:lpstr>
      <vt:lpstr>'MACHINE 10-3'!Bulk</vt:lpstr>
      <vt:lpstr>'MACHINE 10-4'!Bulk</vt:lpstr>
      <vt:lpstr>'MACHINE 10-5'!Bulk</vt:lpstr>
      <vt:lpstr>'MACHINE 10-6'!Bulk</vt:lpstr>
      <vt:lpstr>'MACHINE 10-7'!Bulk</vt:lpstr>
      <vt:lpstr>'MACHINE 6-1'!Bulk</vt:lpstr>
      <vt:lpstr>'MACHINE 6-2 (10-2)'!Bulk</vt:lpstr>
      <vt:lpstr>'MACHINE 10-3'!Print_Area</vt:lpstr>
      <vt:lpstr>'MACHINE 10-4'!Print_Area</vt:lpstr>
      <vt:lpstr>'MACHINE 10-5'!Print_Area</vt:lpstr>
      <vt:lpstr>'MACHINE 10-6'!Print_Area</vt:lpstr>
      <vt:lpstr>'MACHINE 10-7'!Print_Area</vt:lpstr>
      <vt:lpstr>'MACHINE 6-1'!Print_Area</vt:lpstr>
      <vt:lpstr>'MACHINE 6-2 (10-2)'!Print_Area</vt:lpstr>
    </vt:vector>
  </TitlesOfParts>
  <Company>Utz Quality Foods,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Dotson</dc:creator>
  <cp:lastModifiedBy>Ryan Dotson</cp:lastModifiedBy>
  <cp:lastPrinted>2014-07-03T15:18:51Z</cp:lastPrinted>
  <dcterms:created xsi:type="dcterms:W3CDTF">2010-09-14T10:35:20Z</dcterms:created>
  <dcterms:modified xsi:type="dcterms:W3CDTF">2016-04-06T02:15:20Z</dcterms:modified>
</cp:coreProperties>
</file>